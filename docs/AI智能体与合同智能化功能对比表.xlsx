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合同与智能体功能对比" sheetId="1" state="visible" r:id="rId3"/>
    <sheet name="智能体功能明细" sheetId="2" state="visible" r:id="rId4"/>
    <sheet name="与原合同关系" sheetId="3" state="visible" r:id="rId5"/>
    <sheet name="投资与工作量" sheetId="4" state="visible" r:id="rId6"/>
  </sheets>
  <definedNames>
    <definedName function="false" hidden="false" localSheetId="2" name="_xlnm.Print_Titles" vbProcedure="false">与原合同关系!$4:$4</definedName>
    <definedName function="false" hidden="false" localSheetId="0" name="_xlnm.Print_Titles" vbProcedure="false">合同与智能体功能对比!$4:$4</definedName>
    <definedName function="false" hidden="true" localSheetId="0" name="_xlnm._FilterDatabase" vbProcedure="false">合同与智能体功能对比!$A$3:$H$27</definedName>
    <definedName function="false" hidden="false" localSheetId="3" name="_xlnm.Print_Titles" vbProcedure="false">投资与工作量!$4:$4</definedName>
    <definedName function="false" hidden="false" localSheetId="1" name="_xlnm.Print_Titles" vbProcedure="false">智能体功能明细!$4:$4</definedName>
    <definedName function="false" hidden="true" localSheetId="1" name="_xlnm._FilterDatabase" vbProcedure="false">智能体功能明细!$A$3:$E$39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<sst xmlns="http://schemas.openxmlformats.org/spreadsheetml/2006/main" count="432" uniqueCount="321">
  <si>
    <t xml:space="preserve">合同约定智能化功能 与 新增AI智能体功能 对比表</t>
  </si>
  <si>
    <t xml:space="preserve">对标依据：招标文件《第四章 采购需求》五、技术要求（一）2.软件开发　|　项目编号 JSZC-320000-SCZX-G2025-0529　|　新增投资 67 万元 / 335 人天</t>
  </si>
  <si>
    <t xml:space="preserve">序号</t>
  </si>
  <si>
    <t xml:space="preserve">执法环节</t>
  </si>
  <si>
    <t xml:space="preserve">【原合同】约定建设的智能化功能（条款定位）</t>
  </si>
  <si>
    <t xml:space="preserve">【原合同】能实现到什么程度</t>
  </si>
  <si>
    <t xml:space="preserve">【新增智能体】实现的功能</t>
  </si>
  <si>
    <t xml:space="preserve">【新增智能体】能实现到什么程度</t>
  </si>
  <si>
    <t xml:space="preserve">关系判定</t>
  </si>
  <si>
    <t xml:space="preserve">对应智能体模块</t>
  </si>
  <si>
    <t xml:space="preserve">目标感知识别</t>
  </si>
  <si>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中台：船只属性识别、人脸</t>
    </r>
    <r>
      <rPr>
        <sz val="10"/>
        <rFont val="Microsoft YaHei"/>
        <family val="0"/>
        <charset val="1"/>
      </rPr>
      <t xml:space="preserve">/</t>
    </r>
    <r>
      <rPr>
        <sz val="10"/>
        <rFont val="WenQuanYi Zen Hei"/>
        <family val="2"/>
      </rPr>
      <t xml:space="preserve">人体识别、区域入侵检测、视频结构化；算法场景适配服务（渔船捕鱼、人员捕捞钓鱼、船舶非法入侵、船只种类、漂浮物、水位</t>
    </r>
    <r>
      <rPr>
        <sz val="10"/>
        <rFont val="Microsoft YaHei"/>
        <family val="0"/>
        <charset val="1"/>
      </rPr>
      <t xml:space="preserve">6</t>
    </r>
    <r>
      <rPr>
        <sz val="10"/>
        <rFont val="WenQuanYi Zen Hei"/>
        <family val="2"/>
      </rPr>
      <t xml:space="preserve">类算法）</t>
    </r>
  </si>
  <si>
    <t xml:space="preserve">对单帧画面识别出「是什么」——船只类型、人员、是否闯入禁区，输出结构化标签；是否违法仍由人判断</t>
  </si>
  <si>
    <t xml:space="preserve">将识别结果作为感知输入，做多源融合与行为语义推理</t>
  </si>
  <si>
    <t xml:space="preserve">把「识别到船和人」升级为「判断这艘船此刻在做什么」，结合轨迹连续性、航速、AIS状态、雷达特征综合认定行为</t>
  </si>
  <si>
    <t xml:space="preserve">深化（识别器 → 感知Agent）</t>
  </si>
  <si>
    <t xml:space="preserve">预警研判智能体</t>
  </si>
  <si>
    <t xml:space="preserve">预警产生</t>
  </si>
  <si>
    <t xml:space="preserve">智能预警子系统：视频巡逻预警、雷视联动预警、智能分析预警、无人机联动预警、AIS预警、船舶汇聚预警（6类）</t>
  </si>
  <si>
    <t xml:space="preserve">设备事件触发即报警，各类预警相互独立，同一目标可能产生多条告警</t>
  </si>
  <si>
    <t xml:space="preserve">多源事件实时接入与协议标准化，建立统一时空事件数据模型</t>
  </si>
  <si>
    <t xml:space="preserve">消除不同厂商报文格式差异，同一目标的多源告警归并为一个事件对象</t>
  </si>
  <si>
    <t xml:space="preserve">深化（单点告警 → 统一事件）</t>
  </si>
  <si>
    <t xml:space="preserve">虚警过滤</t>
  </si>
  <si>
    <t xml:space="preserve">智能预警子系统：预警研判-预警初步过滤（AI算法学习、规则配置）；预警规则配置-合并上报配置</t>
  </si>
  <si>
    <t xml:space="preserve">按预设规则和阈值做基础过滤，夜间水草、漂浮物、波浪反光、合法商船误触围栏等仍大量漏过</t>
  </si>
  <si>
    <t xml:space="preserve">动静态混合过滤规则 + 智能初筛模型</t>
  </si>
  <si>
    <t xml:space="preserve">结合轨迹连续性、速度阈值、AIS合法备案状态、雷达反射特征自动判别，减少无效派单</t>
  </si>
  <si>
    <t xml:space="preserve">深化（规则过滤 → 模型初筛）</t>
  </si>
  <si>
    <t xml:space="preserve">关键帧取证</t>
  </si>
  <si>
    <t xml:space="preserve">智能预警子系统：预警取证-联动抓拍取证、无人机联动取证、定位信息提取</t>
  </si>
  <si>
    <t xml:space="preserve">触发时联动抓拍，取证素材分散存放，需人工挑选可用画面</t>
  </si>
  <si>
    <t xml:space="preserve">雷视联动关键帧智能抓取与时空取证片段提取</t>
  </si>
  <si>
    <t xml:space="preserve">自动截取告警前1分钟至后2分钟高清片段与特写，自动打时间、经纬度、航向水印，生成举证素材包</t>
  </si>
  <si>
    <t xml:space="preserve">深化（抓拍 → 成包）</t>
  </si>
  <si>
    <t xml:space="preserve">人船档案关联</t>
  </si>
  <si>
    <t xml:space="preserve">重点人员管理子系统：人脸识别预警、重点人员布控；船舶信息库；执法办案应用子系统：案件档案</t>
  </si>
  <si>
    <t xml:space="preserve">各库可分别查询，需人工逐个系统翻找并手工拼接</t>
  </si>
  <si>
    <t xml:space="preserve">涉渔人船档案多维关联分析与全景画像生成</t>
  </si>
  <si>
    <t xml:space="preserve">依据船只特征、AIS编码或人脸特征自动穿透船舶档案库、重点人员库、渔船登记库，一次呈现全景情报</t>
  </si>
  <si>
    <t xml:space="preserve">新增（合同无自动串联）</t>
  </si>
  <si>
    <t xml:space="preserve">违法行为研判定性</t>
  </si>
  <si>
    <t xml:space="preserve">智能预警子系统：预警研判-预警分析研判（招标文件原文为「进行人工初步研判」）、预警二次复核</t>
  </si>
  <si>
    <t xml:space="preserve">等级判定、类型认定、流程分配全部由人工完成，单条线索研判周期以天计</t>
  </si>
  <si>
    <t xml:space="preserve">多模态涉渔违法行为推理模型 + 违法类型智能判定</t>
  </si>
  <si>
    <t xml:space="preserve">自动生成研判初稿并给出违法类型认定，人工由「从零研判」变为「审核确认」</t>
  </si>
  <si>
    <t xml:space="preserve">深化（人工研判 → AI初稿+人工复核）</t>
  </si>
  <si>
    <t xml:space="preserve">置信度与人工接管</t>
  </si>
  <si>
    <t xml:space="preserve">网络硬盘录像机AI规则参数含「置信度」（单帧识别置信度）</t>
  </si>
  <si>
    <t xml:space="preserve">仅用于单帧识别阈值，不涉及业务级判断把握度</t>
  </si>
  <si>
    <t xml:space="preserve">置信度量化评估机制（0-100%）与存疑自动转人工</t>
  </si>
  <si>
    <t xml:space="preserve">对业务结论打分，低于阈值自动标记「存疑待复核」并触发人工接管</t>
  </si>
  <si>
    <t xml:space="preserve">新增（合同无业务级置信度）</t>
  </si>
  <si>
    <t xml:space="preserve">证据链完整性</t>
  </si>
  <si>
    <t xml:space="preserve">执法办案应用子系统：案件档案、证据管理</t>
  </si>
  <si>
    <t xml:space="preserve">证据是否齐全由办案人员凭经验判断</t>
  </si>
  <si>
    <t xml:space="preserve">证据链缺项比对分析与现场补证建议生成</t>
  </si>
  <si>
    <t xml:space="preserve">对照行政处罚与刑事立案法定证据标准自动比对，列出「建议补充取证清单」</t>
  </si>
  <si>
    <t xml:space="preserve">新增（合同无自动校验）</t>
  </si>
  <si>
    <t xml:space="preserve">法规检索</t>
  </si>
  <si>
    <t xml:space="preserve">业务能力中心：全文检索（倒排索引）、自然语义处理训练服务（中文分词、动态模型训练）</t>
  </si>
  <si>
    <t xml:space="preserve">关键词检索，检索对象为平台内文档，法条本身未结构化入库</t>
  </si>
  <si>
    <t xml:space="preserve">法规、裁量基准、案例、规程四类知识库 + 稠密向量与倒排双路混合检索（Hybrid RAG）+ 语义重排序</t>
  </si>
  <si>
    <t xml:space="preserve">口语化案情描述也能准确召回适用条款，可精确定位到条款级</t>
  </si>
  <si>
    <t xml:space="preserve">新增（合同无法规知识库）</t>
  </si>
  <si>
    <t xml:space="preserve">法规知识智能体</t>
  </si>
  <si>
    <t xml:space="preserve">法条准确性校验</t>
  </si>
  <si>
    <t xml:space="preserve">—</t>
  </si>
  <si>
    <t xml:space="preserve">合同无相关内容</t>
  </si>
  <si>
    <t xml:space="preserve">法条真实性硬约束校验与条文一致性过滤</t>
  </si>
  <si>
    <t xml:space="preserve">大模型输出的法律名称、条文序号、款项内容逐字与现行法规库校验，不一致强制拦截并回退原文，杜绝虚构法条</t>
  </si>
  <si>
    <t xml:space="preserve">新增（合同完全无此项）</t>
  </si>
  <si>
    <t xml:space="preserve">裁量与处罚建议</t>
  </si>
  <si>
    <t xml:space="preserve">执法办案应用子系统：行政处罚模块、执法案件评分-自动评分</t>
  </si>
  <si>
    <t xml:space="preserve">按预设规则对案件打分，处罚幅度由办案人员依经验裁量</t>
  </si>
  <si>
    <t xml:space="preserve">自由裁量基准数字化建模 + 裁量等级推荐与拟处罚意见生成</t>
  </si>
  <si>
    <t xml:space="preserve">按情节、捕捞量、违规次数、认错态度推荐裁量阶次，输出处罚建议及裁量说理</t>
  </si>
  <si>
    <t xml:space="preserve">新增（合同无AI裁量推荐）</t>
  </si>
  <si>
    <t xml:space="preserve">执法力量感知</t>
  </si>
  <si>
    <t xml:space="preserve">指挥调度子系统：值班管理、资源汇聚展示；渔政队伍管理子系统：人员信息；执勤点船舶定位系统（112台北斗船载主机）</t>
  </si>
  <si>
    <t xml:space="preserve">可查看人员值班表与船艇实时位置，属静态档案与位置展示</t>
  </si>
  <si>
    <t xml:space="preserve">执法力量能力与管辖范围多维画像</t>
  </si>
  <si>
    <t xml:space="preserve">建立含航速、抗风浪等级、夜航雷达配置、执法资质、夜间出警经验、管辖权限的能力画像库</t>
  </si>
  <si>
    <t xml:space="preserve">新增（合同无能力画像）</t>
  </si>
  <si>
    <t xml:space="preserve">调度派单智能体</t>
  </si>
  <si>
    <t xml:space="preserve">力量推荐与调度</t>
  </si>
  <si>
    <t xml:space="preserve">指挥调度子系统：预案启动（按等级类型智能关联推荐预案）、协同会商（推荐资源调派建议）、指令派发-辅助决策</t>
  </si>
  <si>
    <t xml:space="preserve">基于预案规则给出调派建议，实际选谁出动仍由指挥人员人工决定</t>
  </si>
  <si>
    <t xml:space="preserve">紧急程度评级 + 跨区域协同调度策略推荐</t>
  </si>
  <si>
    <t xml:space="preserve">按案情定性判定特急/紧急/常规，结合实时位置与能力匹配推荐力量，跨湖区事件自动建议启动联合执法</t>
  </si>
  <si>
    <t xml:space="preserve">深化（预案推荐 → 解算推荐）</t>
  </si>
  <si>
    <t xml:space="preserve">派工单生成</t>
  </si>
  <si>
    <t xml:space="preserve">巡查执勤处置子系统：任务创建配置、任务流程配置；业务能力中心：动态表单引擎</t>
  </si>
  <si>
    <t xml:space="preserve">提供建单入口与表单引擎，任务由人工创建、要素由人工填写</t>
  </si>
  <si>
    <t xml:space="preserve">基于动态表单的派工单自动生成与要素填充</t>
  </si>
  <si>
    <t xml:space="preserve">事件详情、经纬度、推荐人员、指定船艇、违法性质、安全提示全自动填充，指挥人员一键复核下发</t>
  </si>
  <si>
    <t xml:space="preserve">深化（人工填单 → 自动填充）</t>
  </si>
  <si>
    <t xml:space="preserve">任务跟踪与异常监测</t>
  </si>
  <si>
    <t xml:space="preserve">巡查执勤处置子系统：任务签收、任务调度、任务反馈；移动端设计</t>
  </si>
  <si>
    <t xml:space="preserve">可查看任务状态与现场反馈，超时按流程节点转交提醒</t>
  </si>
  <si>
    <t xml:space="preserve">出警全过程时空轨迹跟踪 + 超时滞留与轨迹偏离智能监测</t>
  </si>
  <si>
    <t xml:space="preserve">动态刷新「接单-出航-逼近-登临-处置-返航」各节点；未接单、航速异常、轨迹偏离、异常滞留自动告警</t>
  </si>
  <si>
    <t xml:space="preserve">新增（合同无过程异常监测）</t>
  </si>
  <si>
    <t xml:space="preserve">处置闭环与效能评估</t>
  </si>
  <si>
    <t xml:space="preserve">智能预警子系统：预警闭环处理、预警处置中心；巡查执勤处置子系统：任务归档、汇总分析</t>
  </si>
  <si>
    <t xml:space="preserve">处置结果人工回填归档，统计以报表形式呈现</t>
  </si>
  <si>
    <t xml:space="preserve">处置结果回写事件中心 + 指挥闭环效能评估</t>
  </si>
  <si>
    <t xml:space="preserve">移动端提交后自动回写并归档，自动计算响应总时长、力量到达偏差率并生成效能评估报告</t>
  </si>
  <si>
    <t xml:space="preserve">深化（人工归档 → 自动闭环）</t>
  </si>
  <si>
    <t xml:space="preserve">会话与上下文记忆</t>
  </si>
  <si>
    <t xml:space="preserve">合同无多轮会话概念，每条预警独立处理</t>
  </si>
  <si>
    <t xml:space="preserve">会话级短期工作记忆与上下文动态压缩</t>
  </si>
  <si>
    <t xml:space="preserve">支持多轮追问，关键线索与涉案实体在对话过程中不丢失</t>
  </si>
  <si>
    <t xml:space="preserve">智能体运行底座</t>
  </si>
  <si>
    <t xml:space="preserve">历史情境记忆</t>
  </si>
  <si>
    <t xml:space="preserve">重点人员管理子系统：事件分析-相似事件分析</t>
  </si>
  <si>
    <t xml:space="preserve">可按关键词检索历史相似事件，检索结果需人工比对</t>
  </si>
  <si>
    <t xml:space="preserve">案件长效情境记忆与涉渔实体知识关联</t>
  </si>
  <si>
    <t xml:space="preserve">历史处置过程、人工对AI建议的修正记录向量化固化，遇相似案情自动激活历史情境作参考</t>
  </si>
  <si>
    <t xml:space="preserve">新增（合同无向量化记忆）</t>
  </si>
  <si>
    <t xml:space="preserve">跨周期目标追踪</t>
  </si>
  <si>
    <t xml:space="preserve">重点人员管理子系统：重点人员异常活动分析；多元联合感知平台：船舶轨迹</t>
  </si>
  <si>
    <t xml:space="preserve">可分析单个对象的活动规律，离散告警之间不自动串联</t>
  </si>
  <si>
    <t xml:space="preserve">重点嫌疑目标跨周期连续态势追踪记忆</t>
  </si>
  <si>
    <t xml:space="preserve">将同一惯犯船只或人员的多次越界告警、出现规律、同行人员变化串成连续违法态势轨迹链</t>
  </si>
  <si>
    <t xml:space="preserve">新增（合同无跨周期串联）</t>
  </si>
  <si>
    <t xml:space="preserve">自然语言交互</t>
  </si>
  <si>
    <t xml:space="preserve">门户：个人工作台-快捷入口（NLP意图分类、实体标签提取）、综合查询（智能语义分析检索）</t>
  </si>
  <si>
    <t xml:space="preserve">用于搜索场景，把一句话转成检索条件</t>
  </si>
  <si>
    <t xml:space="preserve">复杂事件任务拆解与子任务分发机制</t>
  </si>
  <si>
    <t xml:space="preserve">把一句话指令转成可执行任务，自动拆解为子任务并分发至对应专业智能体</t>
  </si>
  <si>
    <t xml:space="preserve">深化（搜索意图 → 任务指令）</t>
  </si>
  <si>
    <t xml:space="preserve">多智能体协同编排</t>
  </si>
  <si>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中台：算法调度（弹性伸缩、分时复用、倍速分析等</t>
    </r>
    <r>
      <rPr>
        <sz val="10"/>
        <rFont val="Microsoft YaHei"/>
        <family val="0"/>
        <charset val="1"/>
      </rPr>
      <t xml:space="preserve">9</t>
    </r>
    <r>
      <rPr>
        <sz val="10"/>
        <rFont val="WenQuanYi Zen Hei"/>
        <family val="2"/>
      </rPr>
      <t xml:space="preserve">项）、算法运行策略</t>
    </r>
    <r>
      <rPr>
        <sz val="10"/>
        <rFont val="Microsoft YaHei"/>
        <family val="0"/>
        <charset val="1"/>
      </rPr>
      <t xml:space="preserve">-</t>
    </r>
    <r>
      <rPr>
        <sz val="10"/>
        <rFont val="WenQuanYi Zen Hei"/>
        <family val="2"/>
      </rPr>
      <t xml:space="preserve">算法策略编排管理</t>
    </r>
  </si>
  <si>
    <t xml:space="preserve">编排与调度的对象是算法实例与GPU算力，不涉及业务任务协同</t>
  </si>
  <si>
    <t xml:space="preserve">多智能体协作工作流编排（ReAct/DAG）+ 状态机流转与异常自愈</t>
  </si>
  <si>
    <t xml:space="preserve">编排对象是业务任务：三大智能体之间上下文、数据对象与状态安全流转，调用超时或推理异常可自愈纠错</t>
  </si>
  <si>
    <t xml:space="preserve">新增（与合同层次不同，不构成重复）</t>
  </si>
  <si>
    <t xml:space="preserve">工具调用与系统集成</t>
  </si>
  <si>
    <t xml:space="preserve">系统对接：苏农云服务总线、省海洋渔业安全监管系统、雪亮工程；业务能力中心：事件中心、动态表单、GIS引擎</t>
  </si>
  <si>
    <t xml:space="preserve">各系统以API方式对外提供能力，由人在界面上操作触发</t>
  </si>
  <si>
    <t xml:space="preserve">统一工具注册中心 + OpenAPI/Function Calling适配 + 调用安全沙箱</t>
  </si>
  <si>
    <t xml:space="preserve">将一期百余项业务API封装为大模型可调用的标准工具，入参强类型校验、注入过滤、越权检查、写操作隔离</t>
  </si>
  <si>
    <t xml:space="preserve">新增（合同无AI工具总线）</t>
  </si>
  <si>
    <t xml:space="preserve">算法与算力管理</t>
  </si>
  <si>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中台：算法仓库（版本管理、成效统计、指标评价）、算法调度（智能监控、限流、配额）</t>
    </r>
  </si>
  <si>
    <t xml:space="preserve">已覆盖算法上下架、版本切换、算力分配与运行监控</t>
  </si>
  <si>
    <t xml:space="preserve">—（直接复用，不重复建设）</t>
  </si>
  <si>
    <t xml:space="preserve">智能体直接调用原有算法仓库与算力调度能力，本次不新建</t>
  </si>
  <si>
    <t xml:space="preserve">复用（本次投入0元）</t>
  </si>
  <si>
    <t xml:space="preserve">人机协同与安全管控</t>
  </si>
  <si>
    <t xml:space="preserve">门户：日志管理、日志系统对接；数据能力：日志审计、鉴权中心、列脱敏</t>
  </si>
  <si>
    <t xml:space="preserve">审计对象为用户操作系统的行为（登录、查询、导出），不涉及AI行为</t>
  </si>
  <si>
    <t xml:space="preserve">人机协同确认工作流 + AI能力一键降级接管开关 + 可解释推理链</t>
  </si>
  <si>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在关键执法节点仅作参谋，决定权保留给执法人员；可随时一键关闭</t>
    </r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回退纯人工流程；</t>
    </r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推理过程可追溯</t>
    </r>
  </si>
  <si>
    <t xml:space="preserve">新增（合同无AI管控机制）</t>
  </si>
  <si>
    <t xml:space="preserve">统计</t>
  </si>
  <si>
    <t xml:space="preserve">图例</t>
  </si>
  <si>
    <t xml:space="preserve">新增：招标文件无对应内容，属本次增量建设</t>
  </si>
  <si>
    <t xml:space="preserve">深化：招标文件已有基础能力，本次在其上增强</t>
  </si>
  <si>
    <t xml:space="preserve">复用：直接调用原项目已建能力，本次不投入</t>
  </si>
  <si>
    <t xml:space="preserve">新增AI智能体 建设内容明细</t>
  </si>
  <si>
    <r>
      <rPr>
        <sz val="9"/>
        <color rgb="FF595959"/>
        <rFont val="Microsoft YaHei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大模块 </t>
    </r>
    <r>
      <rPr>
        <sz val="9"/>
        <color rgb="FF595959"/>
        <rFont val="Microsoft YaHei"/>
        <family val="0"/>
        <charset val="1"/>
      </rPr>
      <t xml:space="preserve">/ 16 </t>
    </r>
    <r>
      <rPr>
        <sz val="9"/>
        <color rgb="FF595959"/>
        <rFont val="WenQuanYi Zen Hei"/>
        <family val="2"/>
      </rPr>
      <t xml:space="preserve">个二级功能域 </t>
    </r>
    <r>
      <rPr>
        <sz val="9"/>
        <color rgb="FF595959"/>
        <rFont val="Microsoft YaHei"/>
        <family val="0"/>
        <charset val="1"/>
      </rPr>
      <t xml:space="preserve">/ 36 </t>
    </r>
    <r>
      <rPr>
        <sz val="9"/>
        <color rgb="FF595959"/>
        <rFont val="WenQuanYi Zen Hei"/>
        <family val="2"/>
      </rPr>
      <t xml:space="preserve">个三级功能项</t>
    </r>
  </si>
  <si>
    <t xml:space="preserve">智能体模块</t>
  </si>
  <si>
    <t xml:space="preserve">二级功能域</t>
  </si>
  <si>
    <t xml:space="preserve">三级功能项</t>
  </si>
  <si>
    <t xml:space="preserve">详细建设内容</t>
  </si>
  <si>
    <t xml:space="preserve">多源感知数据接入与预警过滤</t>
  </si>
  <si>
    <t xml:space="preserve">视频/雷达/AIS/电子围栏事件实时接入与协议标准化</t>
  </si>
  <si>
    <t xml:space="preserve">对接一期智能预警子系统和事件中心，实时监听并接入光电视频抓拍、雷达航迹目标、AIS船舶报文、水域电子围栏入侵等多种警情事件；建立统一的时空事件数据模型，消除不同设备厂商报文格式差异。</t>
  </si>
  <si>
    <t xml:space="preserve">虚假警报智能过滤与目标异常行为初筛模型</t>
  </si>
  <si>
    <t xml:space="preserve">针对夜间水草、漂浮物、波浪反光、合法商船误触发电子围栏等导致的虚警泛滥问题，构建动静态混合过滤规则与智能初筛模型；结合目标移动轨迹连续性、速度阈值、AIS合法备案状态及雷达反射特征，自动过滤无效误报。</t>
  </si>
  <si>
    <t xml:space="preserve">雷视联动关键帧智能抓取与时空取证片段提取服务</t>
  </si>
  <si>
    <t xml:space="preserve">在雷达或电子围栏触发有效可疑目标告警时，联动最近的光电视频云台跟踪目标，自动截取告警发生前1分钟至后2分钟的高清视频片段与特写抓拍；自动打上时间戳、水域经纬度、目标航向等时空取证水印，生成初步举证素材包。</t>
  </si>
  <si>
    <t xml:space="preserve">全景信息智能穿透与历史线索关联</t>
  </si>
  <si>
    <t xml:space="preserve">根据可疑船只特征、AIS编码或现场抓拍人员人脸特征，由智能体自动触发后台多源检索，一键穿透船舶档案库、重点涉渔人员库、渔船登记库；自动提取船主姓名、从业资质、关联船员、联系方式等背景数据，自动聚合并在界面呈现全景情报画像。</t>
  </si>
  <si>
    <t xml:space="preserve">涉渔违法行为综合研判与推理引擎</t>
  </si>
  <si>
    <t xml:space="preserve">多模态涉渔违法行为推理模型与Prompt工程构建</t>
  </si>
  <si>
    <t xml:space="preserve">将多源感知数据（视频截图、雷达航迹、AIS状态、气象时间）转化为统一的多模态提示词；调度政务内网多模态大模型，对目标船只行为进行深层次语义推理与行为事实识别。</t>
  </si>
  <si>
    <t xml:space="preserve">涉渔违法类型智能判定与置信度量化评估机制</t>
  </si>
  <si>
    <t xml:space="preserve">根据多模态行为推理结果，智能体对违法行为进行精确分类判定；同时给出综合判定的置信度评分（0-100%），若置信度低于阈值则自动标记为"存疑待复核"并触发人工接管。</t>
  </si>
  <si>
    <t xml:space="preserve">智能体对照涉渔行政处罚与刑事立案的法定证据标准，自动比对当前已汇聚的证据材料，智能诊断证据链缺失环节；自动列出"建议补充取证清单"，指导后续执法人员精准补证。</t>
  </si>
  <si>
    <t xml:space="preserve">预警研判工作台与处置闭环衔接</t>
  </si>
  <si>
    <t xml:space="preserve">结构化《预警研判事实摘要》自动生成引擎</t>
  </si>
  <si>
    <t xml:space="preserve">智能体自动将多源感知、档案关联、行为推理和补证建议整合提炼，秒级生成标准规范的《涉渔预警研判事实摘要》（包含：事件编号、发生时间、具体水域网格、涉案船只/人员信息、关键违法事实表述、证据链摘要、研判结论与建议）。</t>
  </si>
  <si>
    <t xml:space="preserve">研判交互工作台（人工审核、修正、确认/驳回界面）</t>
  </si>
  <si>
    <t xml:space="preserve">开发嵌入一期门户的前端智能体交互工作台。直观展示告警源头视频切片、人船档案卡片、区域态势地图、AI研判结论与置信度；支持执法人员对AI研判结果进行"一键采纳确认"、"修改违法类型"、"添加执法批注"或"判定为误报并驳回"，实现严格的人机协同闭环。</t>
  </si>
  <si>
    <t xml:space="preserve">渔政法规知识库构建与专业治理</t>
  </si>
  <si>
    <t xml:space="preserve">长江禁捕专项法规与地方条例结构化解析</t>
  </si>
  <si>
    <t xml:space="preserve">采集治理《中华人民共和国长江保护法》、《中华人民共和国渔业法》、《中华人民共和国刑法》（涉渔条款）以及江苏省地方性禁捕法规规章；对法律文本进行条款级深度结构化解析，提炼法条适用对象、违法行为构件、处罚主体、禁止时间水域等元数据标签。</t>
  </si>
  <si>
    <t xml:space="preserve">农业行政处罚自由裁量基准库数字化建模</t>
  </si>
  <si>
    <t xml:space="preserve">梳理江苏省农业农村厅最新《农业行政处罚自由裁量基准》（渔政篇），将法定的"不予处罚、减轻处罚、从轻处罚、一般处罚、从重处罚"各档次的适用情形、裁量标准、涉案渔获物重量阈值、违规次数梯次进行数字化建模与参数化规则配置。</t>
  </si>
  <si>
    <t xml:space="preserve">典型涉渔判例、禁用渔具标准与水生生物保护名录库</t>
  </si>
  <si>
    <t xml:space="preserve">汇聚最高法、最高检发布的涉长江非法捕捞典型案例、江苏省涉渔行政判例、国家重点保护水生野生动物名录、江苏省禁用渔具渔法技术标准规范；构建典型案例库与渔具鱼类特征标签库。</t>
  </si>
  <si>
    <t xml:space="preserve">专业领域混合检索与法条对齐</t>
  </si>
  <si>
    <t xml:space="preserve">密集向量与倒排索引双路混合检索（Hybrid RAG）</t>
  </si>
  <si>
    <t xml:space="preserve">针对渔政执法专业术语与法条表述特点，构建"稠密语义向量+倒排稀疏关键词"双路召回体系；既能准确理解执法人员口语化案情描述，又能精确锁定专有名词，召回率提升至95%以上。</t>
  </si>
  <si>
    <t xml:space="preserve">法规语义重排序（Rerank）与上下文窗口动态装配</t>
  </si>
  <si>
    <t xml:space="preserve">对双路初筛召回的前20条法规与案例候选集，采用Rerank重排序模型进行精细化语义相关度打分；动态筛选Top-3至Top-5最精准适用的法条，并根据大模型上下文窗口自适应装配提示词。</t>
  </si>
  <si>
    <t xml:space="preserve">法条真实性硬约束校验与100%条文一致性过滤</t>
  </si>
  <si>
    <t xml:space="preserve">为坚决杜绝大模型在行政执法法律引用中的"幻觉"（虚构法条、条款记错、过期条文），研发后置硬约束比对过滤器；大模型输出的任何法律名称、条文序号、款项内容，均必须在现行法规库中进行字符级精准哈希校验，不一致或不存在的条文强制拦截并回退为精确原文。</t>
  </si>
  <si>
    <t xml:space="preserve">违法定性与量罚裁量推理</t>
  </si>
  <si>
    <t xml:space="preserve">案情构成要件自动抽取与法条精准对齐匹配</t>
  </si>
  <si>
    <t xml:space="preserve">依据预警研判智能体输出的案情事实，自动抽取违法主体、客体、主观心态、客观行为；自动将提取要件与法条构成要件进行严密对齐与逻辑论证。</t>
  </si>
  <si>
    <t xml:space="preserve">裁量等级推荐与拟处罚自由裁量意见生成</t>
  </si>
  <si>
    <t xml:space="preserve">根据数字化自由裁量基准，综合考量涉案情节（是否初犯、是否配合调查、认错态度、捕捞量、生态破坏程度），智能推荐适用的裁量阶次；输出拟处罚措施建议，并列出详细的裁量说理理由。</t>
  </si>
  <si>
    <t xml:space="preserve">执法资源实时感知与态势融合</t>
  </si>
  <si>
    <t xml:space="preserve">执法人员/执法船艇/无人机就绪状态与实时定位感知</t>
  </si>
  <si>
    <t xml:space="preserve">实时接入全省或管辖湖区所有在编渔政执法人员在岗状态、值班表、当前位置；动态监控执法巡力量、就绪状态（待命、执勤中、维修中）；构建执法资源态势全景图。</t>
  </si>
  <si>
    <t xml:space="preserve">建立执法力量综合能力画像库（包含：执法艇最大航速、抗风浪等级、夜航雷达配置、执法人员执法资质类型、夜间出警经验、所属支队与水域管辖权限）；调度时自动匹配具备相应处置资质与装备能力的队伍。</t>
  </si>
  <si>
    <t xml:space="preserve">智能调度规划与力量推荐算法</t>
  </si>
  <si>
    <t xml:space="preserve">紧急程度评级与跨区域协同调度策略推荐</t>
  </si>
  <si>
    <t xml:space="preserve">根据案情定性结果（如涉嫌刑事电毒炸鱼、涉保护区重大案件、暴力抗法风险），智能判定任务紧急程度（特急、紧急、常规）；对于跨越湖区行政边界或超出本级力量处置能力的事件，智能体自动推荐启动跨部门、跨区域联合执法协同预案。</t>
  </si>
  <si>
    <t xml:space="preserve">派工单自动化生成与多端触达</t>
  </si>
  <si>
    <t xml:space="preserve">基于一期动态表单的派工单自动生成与要素填充</t>
  </si>
  <si>
    <t xml:space="preserve">调度派单智能体自动调用一期动态表单引擎，将研判确定的事件详情、经纬度、推荐出警人员、指定执法快艇、初步违法性质、出警安全提示等关键要素，全自动填充至《渔政执法应急调度派工单》；指挥人员只需一键复核即可确认下发。</t>
  </si>
  <si>
    <t xml:space="preserve">移动端（APP/短信）一键派发与协同通知</t>
  </si>
  <si>
    <t xml:space="preserve">指挥调度人员确认后，智能体自动通过消息网关，将结构化派工单即时推送到指定执法人员的渔政执法移动APP或短信通道；任务卡片包含报警摘要、涉嫌违规类型、紧急程度、目标位置一键导航链接及勘验取证提示。</t>
  </si>
  <si>
    <t xml:space="preserve">任务执行过程跟踪与闭环监控</t>
  </si>
  <si>
    <t xml:space="preserve">出警全过程时空轨迹跟踪与执行状态监管</t>
  </si>
  <si>
    <t xml:space="preserve">任务派发后，智能体进入全生命周期跟踪状态。通过北斗/GPS实时采集出警人员与执法快艇的航行速度、行动轨迹，并在指挥调度驾驶舱地图上动态刷新显示"接单-出航-逼近-登临-处置-返航"各阶段节点与时空轨迹线。</t>
  </si>
  <si>
    <t xml:space="preserve">任务超时滞留、轨迹偏离异常监测与智能预警</t>
  </si>
  <si>
    <t xml:space="preserve">在出警执行过程中，智能体实时监测异常情况：若执法人员超过设定时限（如10分钟）未接单、执法船艇航速严重低于正常值、航行轨迹大幅偏离推荐路线或在某水域长时间异常滞留，智能体自动触发告警并弹出提示。</t>
  </si>
  <si>
    <t xml:space="preserve">处置结果回写一期事件中心与指挥闭环评估</t>
  </si>
  <si>
    <t xml:space="preserve">现场处置结束后，现场人员在移动端提交处置结果、上传扣押物品清单及执法照片；智能体自动将处置信息回写一期事件中心，更新事件为"已办结归档"；自动计算从告警产生到出警处置的响应总时长、力量到达偏差率，并生成《指挥调度效能评估报告》。</t>
  </si>
  <si>
    <t xml:space="preserve">任务规划与自主决策引擎</t>
  </si>
  <si>
    <t xml:space="preserve">多智能体协作工作流编排（ReAct/DAG编排引擎）</t>
  </si>
  <si>
    <t xml:space="preserve">研发支撑多业务智能体高效协同的运行时中枢；支持基于有向无环图的任务流编排与多轮自主决策推理机制；定义智能体间通信标准协议，实现预警、法规、调度三大智能体之间上下文、数据对象和状态的安全流转与协同作业。</t>
  </si>
  <si>
    <t xml:space="preserve">复杂涉渔事件任务拆解与子任务分发机制</t>
  </si>
  <si>
    <t xml:space="preserve">当系统接收到复杂涉渔复合警情时，底座智能体根据自然语言指令或复合事件上下文，将总任务自主拆解为若干并行的子任务目标，并精准分发至对应专业智能体协同执行。</t>
  </si>
  <si>
    <t xml:space="preserve">状态机流转控制与执行异常自愈纠错</t>
  </si>
  <si>
    <t xml:space="preserve">为每一个涉渔执法业务事件维护严格的状态机生命周期；当某一智能体调用外部接口超时或模型推理格式异常时，底座具备自动重试、动态修正Prompt重问或降级报警的自愈纠错能力。</t>
  </si>
  <si>
    <t xml:space="preserve">记忆管理与连续研判系统</t>
  </si>
  <si>
    <t xml:space="preserve">为执法人员与智能体之间的人机对话、智能体之间的多轮交互提供高保真短期工作记忆；采用滑动窗口与智能上下文动态压缩算法，在维持关键线索、涉案实体不丢失的前提下，大幅削减大模型Token开销。</t>
  </si>
  <si>
    <t xml:space="preserve">构建面向涉渔执法业务的长效情境记忆库；将历史查办成功的经典案例处置过程、执法人员对AI建议的修正记录、典型经验教训进行向量化固化存储；在面临相似新型案情时，智能体能自动激活历史情境记忆作为参考借鉴。</t>
  </si>
  <si>
    <t xml:space="preserve">涉渔重点嫌疑目标跨周期连续态势追踪记忆</t>
  </si>
  <si>
    <t xml:space="preserve">针对多次踩线、昼伏夜出的"惯犯"船只或人员，底座提供跨周期的连续态势追踪记忆；自动记录该目标在不同时间段的多次越界告警、出现水域规律、同行人员变化，将离散的单次告警串联为连续的"违法态势发展轨迹链"。</t>
  </si>
  <si>
    <t xml:space="preserve">统一知识库与RAG检索中枢</t>
  </si>
  <si>
    <t xml:space="preserve">向量嵌入模型服务与向量索引维护</t>
  </si>
  <si>
    <t xml:space="preserve">提供底座统一的文本向量嵌入推理微服务与向量数据库索引管理；支持海量涉渔知识文本、典型案例的高性能向量表征；实现向量索引的增删改查与高并发向量相似度检索。</t>
  </si>
  <si>
    <t xml:space="preserve">知识图谱与语义关联网络构建与知识热更新机制</t>
  </si>
  <si>
    <t xml:space="preserve">抽取法条、案件、水域、鱼种、渔具等专业实体及其"属于、违反、适用、禁用"等关系，构建渔政执法领域知识图谱；提供无感知的知识热更新服务，当有新法规颁布或旧法条废止时，管理员在线更新即可生效。</t>
  </si>
  <si>
    <t xml:space="preserve">标准化工具调用总线与业务集成框架</t>
  </si>
  <si>
    <t xml:space="preserve">统一工具注册中心与OpenAPI/Function Calling适配</t>
  </si>
  <si>
    <t xml:space="preserve">构建智能体工具调用总线，提供标准化的工具注册、发现与描述机制；将一期现有的一百余项业务API封装为符合OpenAPI 3.0与大模型Function Calling规范的标准Tool，供智能体按需调用。</t>
  </si>
  <si>
    <t xml:space="preserve">工具入参校验、调用安全沙箱与网络隔离</t>
  </si>
  <si>
    <t xml:space="preserve">针对大模型自主生成调用参数的不确定性，在执行底层业务API前设立强类型安全沙箱；对工具入参进行严格的类型断言、范围检测、SQL/命令注入过滤与数据越权检查；隔离智能体运行环境与生产核心数据写操作。</t>
  </si>
  <si>
    <t xml:space="preserve">人机协同与安全合规审计中心</t>
  </si>
  <si>
    <t xml:space="preserve">人机协同确认工作流与AI能力一键无缝接管降级开关</t>
  </si>
  <si>
    <t xml:space="preserve">贯彻"智能体辅助、执法人员确认"的核心法治原则，AI在任何关键执法节点均仅作为参谋输出建议，最终决定权完全保留给执法人员；系统提供全局及模块级"AI能力一键降级接管开关"，遇到任何突发状况可随时关闭AI，无缝切换回一期原有纯人工流转模式。</t>
  </si>
  <si>
    <t xml:space="preserve">各智能体模块 与原合同的关系</t>
  </si>
  <si>
    <t xml:space="preserve">逐模块说明原合同已建成的能力、其实现边界、本次新增内容及定性结论</t>
  </si>
  <si>
    <t xml:space="preserve">原合同已有相关能力</t>
  </si>
  <si>
    <t xml:space="preserve">原合同实现边界</t>
  </si>
  <si>
    <t xml:space="preserve">本次新增智能体能力</t>
  </si>
  <si>
    <t xml:space="preserve">新增性质 / 结论</t>
  </si>
  <si>
    <t xml:space="preserve">智能预警子系统：视频巡逻预警、雷视联动预警、智能分析、预警研判、预警取证</t>
  </si>
  <si>
    <t xml:space="preserve">被动触发、单点识别、人工研判</t>
  </si>
  <si>
    <t xml:space="preserve">多源事件标准化接入、虚警自动过滤、雷视关键帧自动取证、人船档案自动关联、多模态行为推理、违法类型判定与置信度评估、证据链补证建议、研判事实摘要自动生成、研判工作台</t>
  </si>
  <si>
    <t xml:space="preserve">从"人工研判"升级为"AI自动研判初稿+人工复核"</t>
  </si>
  <si>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中台：船只属性识别、视频结构化</t>
    </r>
  </si>
  <si>
    <t xml:space="preserve">输出结构化数据，需人工判断</t>
  </si>
  <si>
    <t xml:space="preserve">将原识别结果作为感知输入，做多源融合、行为语义推理</t>
  </si>
  <si>
    <t xml:space="preserve">从"识别器"到"感知Agent"</t>
  </si>
  <si>
    <t xml:space="preserve">业务能力中心：事件中心、自然语义处理</t>
  </si>
  <si>
    <t xml:space="preserve">提供事件接收与语义处理组件</t>
  </si>
  <si>
    <t xml:space="preserve">自动串联事件、档案、法规、证据</t>
  </si>
  <si>
    <t xml:space="preserve">原合同无AI自动串联</t>
  </si>
  <si>
    <t xml:space="preserve">【小结】</t>
  </si>
  <si>
    <t xml:space="preserve">结论：不重复建设，属于原AI预警能力的深化。</t>
  </si>
  <si>
    <t xml:space="preserve">业务能力中心：全文检索、自然语义处理</t>
  </si>
  <si>
    <t xml:space="preserve">关键词检索、传统搜索引擎</t>
  </si>
  <si>
    <t xml:space="preserve">法规知识库、裁量基准库、案例库、Hybrid RAG、Rerank、法条硬校验、构成要件抽取、裁量建议</t>
  </si>
  <si>
    <t xml:space="preserve">从"搜索引擎"到"法规知识智能体"</t>
  </si>
  <si>
    <t xml:space="preserve">渔具鱼类鉴定子系统</t>
  </si>
  <si>
    <t xml:space="preserve">仅限于渔具鱼类鉴定</t>
  </si>
  <si>
    <t xml:space="preserve">扩充为法规知识库、裁量基准库、案例库</t>
  </si>
  <si>
    <t xml:space="preserve">原合同无条款级知识库/RAG</t>
  </si>
  <si>
    <t xml:space="preserve">执法办案应用子系统：行政处罚模块</t>
  </si>
  <si>
    <t xml:space="preserve">人工办案、人工裁量</t>
  </si>
  <si>
    <t xml:space="preserve">自动匹配法条、自动推荐裁量等级</t>
  </si>
  <si>
    <t xml:space="preserve">原合同无AI裁量推荐</t>
  </si>
  <si>
    <t xml:space="preserve">结论：不重复建设，属于业务知识层建设，基于原文检索和自然语义处理能力深化。</t>
  </si>
  <si>
    <t xml:space="preserve">指挥调度子系统：GIS资源汇聚、指令下发、预案启动、移动端任务</t>
  </si>
  <si>
    <t xml:space="preserve">人工选力量、人工填单、系统分发</t>
  </si>
  <si>
    <t xml:space="preserve">自动资源画像、紧急评级、跨区域协同、派工单自动填充、移动端派发、轨迹跟踪、异常监测、结果回写、效能评估</t>
  </si>
  <si>
    <t xml:space="preserve">从"消息分发器"到"调度Agent"</t>
  </si>
  <si>
    <t xml:space="preserve">巡查执勤处置子系统：任务创建、任务签收、任务调度、任务反馈</t>
  </si>
  <si>
    <t xml:space="preserve">人工创建任务、人工反馈</t>
  </si>
  <si>
    <t xml:space="preserve">自动生成待确认工单、自动通知、异常监测</t>
  </si>
  <si>
    <t xml:space="preserve">原合同无AI推荐</t>
  </si>
  <si>
    <t xml:space="preserve">渔政队伍管理子系统：人员、值班信息</t>
  </si>
  <si>
    <t xml:space="preserve">静态档案查询</t>
  </si>
  <si>
    <t xml:space="preserve">执法人员画像、能力标签、实时状态</t>
  </si>
  <si>
    <t xml:space="preserve">原合同无AI匹配</t>
  </si>
  <si>
    <t xml:space="preserve">结论：不重复建设，属于原指挥调度能力的智能化延伸。</t>
  </si>
  <si>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中台：算法调度、算法仓库、算法运行策略</t>
    </r>
  </si>
  <si>
    <t xml:space="preserve">算法管理、算力调度</t>
  </si>
  <si>
    <t xml:space="preserve">多智能体协作编排、任务拆解、状态机自愈、短期/长期记忆、知识图谱热更新、工具注册、Function Calling、安全沙箱、人机协同降级</t>
  </si>
  <si>
    <t xml:space="preserve">从"算法管理"到"智能体运行底座"</t>
  </si>
  <si>
    <t xml:space="preserve">业务能力中心：事件中心、动态表单、GIS引擎</t>
  </si>
  <si>
    <t xml:space="preserve">业务组件</t>
  </si>
  <si>
    <t xml:space="preserve">统一工具注册、Function Calling、安全沙箱</t>
  </si>
  <si>
    <t xml:space="preserve">原合同无AI工具调用总线</t>
  </si>
  <si>
    <t xml:space="preserve">系统管理配置模块</t>
  </si>
  <si>
    <t xml:space="preserve">权限、日志</t>
  </si>
  <si>
    <r>
      <rPr>
        <sz val="10"/>
        <rFont val="Microsoft YaHei"/>
        <family val="0"/>
        <charset val="1"/>
      </rPr>
      <t xml:space="preserve">AI</t>
    </r>
    <r>
      <rPr>
        <sz val="10"/>
        <rFont val="WenQuanYi Zen Hei"/>
        <family val="2"/>
      </rPr>
      <t xml:space="preserve">能力一键降级、置信度转人工、可解释推理链</t>
    </r>
  </si>
  <si>
    <t xml:space="preserve">原合同无AI接管机制</t>
  </si>
  <si>
    <t xml:space="preserve">结论：不重复建设，属于原AI中台和业务能力中心的能力整合与提升。</t>
  </si>
  <si>
    <t xml:space="preserve">新增AI智能体 投资与工作量</t>
  </si>
  <si>
    <t xml:space="preserve">单价 2,000 元/人天，依据《软件工程 软件开发成本度量规范》（GB/T 36964-2018）测算；硬件费用 0 元</t>
  </si>
  <si>
    <t xml:space="preserve">三级功能项数</t>
  </si>
  <si>
    <t xml:space="preserve">人天</t>
  </si>
  <si>
    <t xml:space="preserve">金额（万元）</t>
  </si>
  <si>
    <t xml:space="preserve">占比</t>
  </si>
  <si>
    <t xml:space="preserve">合计</t>
  </si>
  <si>
    <t xml:space="preserve">口径说明：</t>
  </si>
  <si>
    <r>
      <rPr>
        <sz val="9.5"/>
        <color rgb="FF595959"/>
        <rFont val="Microsoft YaHei"/>
        <family val="0"/>
        <charset val="1"/>
      </rPr>
      <t xml:space="preserve">1. </t>
    </r>
    <r>
      <rPr>
        <sz val="9.5"/>
        <color rgb="FF595959"/>
        <rFont val="WenQuanYi Zen Hei"/>
        <family val="2"/>
      </rPr>
      <t xml:space="preserve">本次新增投资 </t>
    </r>
    <r>
      <rPr>
        <sz val="9.5"/>
        <color rgb="FF595959"/>
        <rFont val="Microsoft YaHei"/>
        <family val="0"/>
        <charset val="1"/>
      </rPr>
      <t xml:space="preserve">67 </t>
    </r>
    <r>
      <rPr>
        <sz val="9.5"/>
        <color rgb="FF595959"/>
        <rFont val="WenQuanYi Zen Hei"/>
        <family val="2"/>
      </rPr>
      <t xml:space="preserve">万元，占原项目合同金额 </t>
    </r>
    <r>
      <rPr>
        <sz val="9.5"/>
        <color rgb="FF595959"/>
        <rFont val="Microsoft YaHei"/>
        <family val="0"/>
        <charset val="1"/>
      </rPr>
      <t xml:space="preserve">3,399.5899 </t>
    </r>
    <r>
      <rPr>
        <sz val="9.5"/>
        <color rgb="FF595959"/>
        <rFont val="WenQuanYi Zen Hei"/>
        <family val="2"/>
      </rPr>
      <t xml:space="preserve">万元的 </t>
    </r>
    <r>
      <rPr>
        <sz val="9.5"/>
        <color rgb="FF595959"/>
        <rFont val="Microsoft YaHei"/>
        <family val="0"/>
        <charset val="1"/>
      </rPr>
      <t xml:space="preserve">1.97%</t>
    </r>
    <r>
      <rPr>
        <sz val="9.5"/>
        <color rgb="FF595959"/>
        <rFont val="WenQuanYi Zen Hei"/>
        <family val="2"/>
      </rPr>
      <t xml:space="preserve">，全部为软件开发费用，不涉及硬件采购。</t>
    </r>
  </si>
  <si>
    <r>
      <rPr>
        <sz val="9.5"/>
        <color rgb="FF595959"/>
        <rFont val="Microsoft YaHei"/>
        <family val="0"/>
        <charset val="1"/>
      </rPr>
      <t xml:space="preserve">2. </t>
    </r>
    <r>
      <rPr>
        <sz val="9.5"/>
        <color rgb="FF595959"/>
        <rFont val="WenQuanYi Zen Hei"/>
        <family val="2"/>
      </rPr>
      <t xml:space="preserve">算力卡及配套服务器由省政务云统一提供，不在本项目经费中列支。</t>
    </r>
  </si>
  <si>
    <r>
      <rPr>
        <sz val="9.5"/>
        <color rgb="FF595959"/>
        <rFont val="Microsoft YaHei"/>
        <family val="0"/>
        <charset val="1"/>
      </rPr>
      <t xml:space="preserve">3. </t>
    </r>
    <r>
      <rPr>
        <sz val="9.5"/>
        <color rgb="FF595959"/>
        <rFont val="WenQuanYi Zen Hei"/>
        <family val="2"/>
      </rPr>
      <t xml:space="preserve">本阶段为建议书阶段估算，允许误差 </t>
    </r>
    <r>
      <rPr>
        <sz val="9.5"/>
        <color rgb="FF595959"/>
        <rFont val="Microsoft YaHei"/>
        <family val="0"/>
        <charset val="1"/>
      </rPr>
      <t xml:space="preserve">±20%</t>
    </r>
    <r>
      <rPr>
        <sz val="9.5"/>
        <color rgb="FF595959"/>
        <rFont val="WenQuanYi Zen Hei"/>
        <family val="2"/>
      </rPr>
      <t xml:space="preserve">，最终金额以可行性研究批复及财政评审为准。</t>
    </r>
  </si>
  <si>
    <r>
      <rPr>
        <sz val="9.5"/>
        <color rgb="FF595959"/>
        <rFont val="Microsoft YaHei"/>
        <family val="0"/>
        <charset val="1"/>
      </rPr>
      <t xml:space="preserve">4. </t>
    </r>
    <r>
      <rPr>
        <sz val="9.5"/>
        <color rgb="FF595959"/>
        <rFont val="WenQuanYi Zen Hei"/>
        <family val="2"/>
      </rPr>
      <t xml:space="preserve">原合同已建成的 </t>
    </r>
    <r>
      <rPr>
        <sz val="9.5"/>
        <color rgb="FF595959"/>
        <rFont val="Microsoft YaHei"/>
        <family val="0"/>
        <charset val="1"/>
      </rPr>
      <t xml:space="preserve">AI </t>
    </r>
    <r>
      <rPr>
        <sz val="9.5"/>
        <color rgb="FF595959"/>
        <rFont val="WenQuanYi Zen Hei"/>
        <family val="2"/>
      </rPr>
      <t xml:space="preserve">中台算法仓库、算力调度、事件中心、全文检索、移动端等能力直接复用，本次不投入工作量。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</si>
</sst>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WenQuanYi Zen Hei"/>
      <family val="2"/>
      <charset val="1"/>
    </font>
    <font>
      <sz val="9"/>
      <color rgb="FF595959"/>
      <name val="WenQuanYi Zen Hei"/>
      <family val="2"/>
      <charset val="1"/>
    </font>
    <font>
      <b val="true"/>
      <sz val="10.5"/>
      <color rgb="FFFFFFFF"/>
      <name val="WenQuanYi Zen Hei"/>
      <family val="2"/>
      <charset val="1"/>
    </font>
    <font>
      <sz val="10"/>
      <name val="Microsoft YaHei"/>
      <family val="0"/>
      <charset val="1"/>
    </font>
    <font>
      <sz val="10"/>
      <name val="WenQuanYi Zen Hei"/>
      <family val="2"/>
      <charset val="1"/>
    </font>
    <font>
      <sz val="10"/>
      <name val="WenQuanYi Zen Hei"/>
      <family val="2"/>
    </font>
    <font>
      <b val="true"/>
      <sz val="10"/>
      <name val="WenQuanYi Zen Hei"/>
      <family val="2"/>
      <charset val="1"/>
    </font>
    <font>
      <b val="true"/>
      <sz val="10"/>
      <color rgb="FFC00000"/>
      <name val="WenQuanYi Zen Hei"/>
      <family val="2"/>
      <charset val="1"/>
    </font>
    <font>
      <sz val="9"/>
      <name val="WenQuanYi Zen Hei"/>
      <family val="2"/>
      <charset val="1"/>
    </font>
    <font>
      <sz val="9"/>
      <color rgb="FF595959"/>
      <name val="Microsoft YaHei"/>
      <family val="0"/>
      <charset val="1"/>
    </font>
    <font>
      <sz val="9"/>
      <color rgb="FF595959"/>
      <name val="WenQuanYi Zen Hei"/>
      <family val="2"/>
    </font>
    <font>
      <sz val="11"/>
      <name val="Microsoft YaHei"/>
      <family val="0"/>
      <charset val="1"/>
    </font>
    <font>
      <sz val="11"/>
      <name val="WenQuanYi Zen Hei"/>
      <family val="2"/>
      <charset val="1"/>
    </font>
    <font>
      <b val="true"/>
      <sz val="11"/>
      <name val="Microsoft YaHei"/>
      <family val="0"/>
      <charset val="1"/>
    </font>
    <font>
      <b val="true"/>
      <sz val="11"/>
      <name val="WenQuanYi Zen Hei"/>
      <family val="2"/>
      <charset val="1"/>
    </font>
    <font>
      <b val="true"/>
      <sz val="9.5"/>
      <color rgb="FFC00000"/>
      <name val="WenQuanYi Zen Hei"/>
      <family val="2"/>
      <charset val="1"/>
    </font>
    <font>
      <sz val="9.5"/>
      <color rgb="FF595959"/>
      <name val="Microsoft YaHei"/>
      <family val="0"/>
      <charset val="1"/>
    </font>
    <font>
      <sz val="9.5"/>
      <color rgb="FF595959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5"/>
    <col collapsed="false" customWidth="true" hidden="false" outlineLevel="0" max="3" min="3" style="1" width="42"/>
    <col collapsed="false" customWidth="true" hidden="false" outlineLevel="0" max="4" min="4" style="1" width="38"/>
    <col collapsed="false" customWidth="true" hidden="false" outlineLevel="0" max="5" min="5" style="1" width="34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1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3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51.75" hidden="false" customHeight="true" outlineLevel="0" collapsed="false">
      <c r="A4" s="5" t="n">
        <v>1</v>
      </c>
      <c r="B4" s="6" t="s">
        <v>10</v>
      </c>
      <c r="C4" s="7" t="s">
        <v>11</v>
      </c>
      <c r="D4" s="6" t="s">
        <v>12</v>
      </c>
      <c r="E4" s="6" t="s">
        <v>13</v>
      </c>
      <c r="F4" s="6" t="s">
        <v>14</v>
      </c>
      <c r="G4" s="8" t="s">
        <v>15</v>
      </c>
      <c r="H4" s="6" t="s">
        <v>16</v>
      </c>
    </row>
    <row r="5" customFormat="false" ht="39" hidden="false" customHeight="true" outlineLevel="0" collapsed="false">
      <c r="A5" s="5" t="n">
        <v>2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8" t="s">
        <v>22</v>
      </c>
      <c r="H5" s="6" t="s">
        <v>16</v>
      </c>
    </row>
    <row r="6" customFormat="false" ht="39" hidden="false" customHeight="true" outlineLevel="0" collapsed="false">
      <c r="A6" s="5" t="n">
        <v>3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8" t="s">
        <v>28</v>
      </c>
      <c r="H6" s="6" t="s">
        <v>16</v>
      </c>
    </row>
    <row r="7" customFormat="false" ht="26.25" hidden="false" customHeight="true" outlineLevel="0" collapsed="false">
      <c r="A7" s="5" t="n">
        <v>4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8" t="s">
        <v>34</v>
      </c>
      <c r="H7" s="6" t="s">
        <v>16</v>
      </c>
    </row>
    <row r="8" customFormat="false" ht="26.25" hidden="false" customHeight="true" outlineLevel="0" collapsed="false">
      <c r="A8" s="9" t="n">
        <v>5</v>
      </c>
      <c r="B8" s="10" t="s">
        <v>35</v>
      </c>
      <c r="C8" s="10" t="s">
        <v>36</v>
      </c>
      <c r="D8" s="10" t="s">
        <v>37</v>
      </c>
      <c r="E8" s="10" t="s">
        <v>38</v>
      </c>
      <c r="F8" s="10" t="s">
        <v>39</v>
      </c>
      <c r="G8" s="11" t="s">
        <v>40</v>
      </c>
      <c r="H8" s="10" t="s">
        <v>16</v>
      </c>
    </row>
    <row r="9" customFormat="false" ht="26.25" hidden="false" customHeight="true" outlineLevel="0" collapsed="false">
      <c r="A9" s="5" t="n">
        <v>6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8" t="s">
        <v>46</v>
      </c>
      <c r="H9" s="6" t="s">
        <v>16</v>
      </c>
    </row>
    <row r="10" customFormat="false" ht="26.25" hidden="false" customHeight="true" outlineLevel="0" collapsed="false">
      <c r="A10" s="9" t="n">
        <v>7</v>
      </c>
      <c r="B10" s="10" t="s">
        <v>47</v>
      </c>
      <c r="C10" s="10" t="s">
        <v>48</v>
      </c>
      <c r="D10" s="10" t="s">
        <v>49</v>
      </c>
      <c r="E10" s="10" t="s">
        <v>50</v>
      </c>
      <c r="F10" s="10" t="s">
        <v>51</v>
      </c>
      <c r="G10" s="11" t="s">
        <v>52</v>
      </c>
      <c r="H10" s="10" t="s">
        <v>16</v>
      </c>
    </row>
    <row r="11" customFormat="false" ht="26.25" hidden="false" customHeight="true" outlineLevel="0" collapsed="false">
      <c r="A11" s="9" t="n">
        <v>8</v>
      </c>
      <c r="B11" s="10" t="s">
        <v>53</v>
      </c>
      <c r="C11" s="10" t="s">
        <v>54</v>
      </c>
      <c r="D11" s="10" t="s">
        <v>55</v>
      </c>
      <c r="E11" s="10" t="s">
        <v>56</v>
      </c>
      <c r="F11" s="10" t="s">
        <v>57</v>
      </c>
      <c r="G11" s="11" t="s">
        <v>58</v>
      </c>
      <c r="H11" s="10" t="s">
        <v>16</v>
      </c>
    </row>
    <row r="12" customFormat="false" ht="39" hidden="false" customHeight="true" outlineLevel="0" collapsed="false">
      <c r="A12" s="9" t="n">
        <v>9</v>
      </c>
      <c r="B12" s="10" t="s">
        <v>59</v>
      </c>
      <c r="C12" s="10" t="s">
        <v>60</v>
      </c>
      <c r="D12" s="10" t="s">
        <v>61</v>
      </c>
      <c r="E12" s="10" t="s">
        <v>62</v>
      </c>
      <c r="F12" s="10" t="s">
        <v>63</v>
      </c>
      <c r="G12" s="11" t="s">
        <v>64</v>
      </c>
      <c r="H12" s="10" t="s">
        <v>65</v>
      </c>
    </row>
    <row r="13" customFormat="false" ht="26.25" hidden="false" customHeight="true" outlineLevel="0" collapsed="false">
      <c r="A13" s="9" t="n">
        <v>10</v>
      </c>
      <c r="B13" s="10" t="s">
        <v>66</v>
      </c>
      <c r="C13" s="12" t="s">
        <v>67</v>
      </c>
      <c r="D13" s="10" t="s">
        <v>68</v>
      </c>
      <c r="E13" s="10" t="s">
        <v>69</v>
      </c>
      <c r="F13" s="10" t="s">
        <v>70</v>
      </c>
      <c r="G13" s="11" t="s">
        <v>71</v>
      </c>
      <c r="H13" s="10" t="s">
        <v>65</v>
      </c>
    </row>
    <row r="14" customFormat="false" ht="26.25" hidden="false" customHeight="true" outlineLevel="0" collapsed="false">
      <c r="A14" s="9" t="n">
        <v>11</v>
      </c>
      <c r="B14" s="10" t="s">
        <v>72</v>
      </c>
      <c r="C14" s="10" t="s">
        <v>73</v>
      </c>
      <c r="D14" s="10" t="s">
        <v>74</v>
      </c>
      <c r="E14" s="10" t="s">
        <v>75</v>
      </c>
      <c r="F14" s="10" t="s">
        <v>76</v>
      </c>
      <c r="G14" s="11" t="s">
        <v>77</v>
      </c>
      <c r="H14" s="10" t="s">
        <v>65</v>
      </c>
    </row>
    <row r="15" customFormat="false" ht="39" hidden="false" customHeight="true" outlineLevel="0" collapsed="false">
      <c r="A15" s="9" t="n">
        <v>12</v>
      </c>
      <c r="B15" s="10" t="s">
        <v>78</v>
      </c>
      <c r="C15" s="10" t="s">
        <v>79</v>
      </c>
      <c r="D15" s="10" t="s">
        <v>80</v>
      </c>
      <c r="E15" s="10" t="s">
        <v>81</v>
      </c>
      <c r="F15" s="10" t="s">
        <v>82</v>
      </c>
      <c r="G15" s="11" t="s">
        <v>83</v>
      </c>
      <c r="H15" s="10" t="s">
        <v>84</v>
      </c>
    </row>
    <row r="16" customFormat="false" ht="39" hidden="false" customHeight="true" outlineLevel="0" collapsed="false">
      <c r="A16" s="5" t="n">
        <v>13</v>
      </c>
      <c r="B16" s="6" t="s">
        <v>85</v>
      </c>
      <c r="C16" s="6" t="s">
        <v>86</v>
      </c>
      <c r="D16" s="6" t="s">
        <v>87</v>
      </c>
      <c r="E16" s="6" t="s">
        <v>88</v>
      </c>
      <c r="F16" s="6" t="s">
        <v>89</v>
      </c>
      <c r="G16" s="8" t="s">
        <v>90</v>
      </c>
      <c r="H16" s="6" t="s">
        <v>84</v>
      </c>
    </row>
    <row r="17" customFormat="false" ht="26.25" hidden="false" customHeight="true" outlineLevel="0" collapsed="false">
      <c r="A17" s="5" t="n">
        <v>14</v>
      </c>
      <c r="B17" s="6" t="s">
        <v>91</v>
      </c>
      <c r="C17" s="6" t="s">
        <v>92</v>
      </c>
      <c r="D17" s="6" t="s">
        <v>93</v>
      </c>
      <c r="E17" s="6" t="s">
        <v>94</v>
      </c>
      <c r="F17" s="6" t="s">
        <v>95</v>
      </c>
      <c r="G17" s="8" t="s">
        <v>96</v>
      </c>
      <c r="H17" s="6" t="s">
        <v>84</v>
      </c>
    </row>
    <row r="18" customFormat="false" ht="26.25" hidden="false" customHeight="true" outlineLevel="0" collapsed="false">
      <c r="A18" s="9" t="n">
        <v>15</v>
      </c>
      <c r="B18" s="10" t="s">
        <v>97</v>
      </c>
      <c r="C18" s="10" t="s">
        <v>98</v>
      </c>
      <c r="D18" s="10" t="s">
        <v>99</v>
      </c>
      <c r="E18" s="10" t="s">
        <v>100</v>
      </c>
      <c r="F18" s="10" t="s">
        <v>101</v>
      </c>
      <c r="G18" s="11" t="s">
        <v>102</v>
      </c>
      <c r="H18" s="10" t="s">
        <v>84</v>
      </c>
    </row>
    <row r="19" customFormat="false" ht="26.25" hidden="false" customHeight="true" outlineLevel="0" collapsed="false">
      <c r="A19" s="5" t="n">
        <v>16</v>
      </c>
      <c r="B19" s="6" t="s">
        <v>103</v>
      </c>
      <c r="C19" s="6" t="s">
        <v>104</v>
      </c>
      <c r="D19" s="6" t="s">
        <v>105</v>
      </c>
      <c r="E19" s="6" t="s">
        <v>106</v>
      </c>
      <c r="F19" s="6" t="s">
        <v>107</v>
      </c>
      <c r="G19" s="8" t="s">
        <v>108</v>
      </c>
      <c r="H19" s="6" t="s">
        <v>84</v>
      </c>
    </row>
    <row r="20" customFormat="false" ht="26.25" hidden="false" customHeight="true" outlineLevel="0" collapsed="false">
      <c r="A20" s="9" t="n">
        <v>17</v>
      </c>
      <c r="B20" s="10" t="s">
        <v>109</v>
      </c>
      <c r="C20" s="12" t="s">
        <v>67</v>
      </c>
      <c r="D20" s="10" t="s">
        <v>110</v>
      </c>
      <c r="E20" s="10" t="s">
        <v>111</v>
      </c>
      <c r="F20" s="10" t="s">
        <v>112</v>
      </c>
      <c r="G20" s="11" t="s">
        <v>71</v>
      </c>
      <c r="H20" s="10" t="s">
        <v>113</v>
      </c>
    </row>
    <row r="21" customFormat="false" ht="26.25" hidden="false" customHeight="true" outlineLevel="0" collapsed="false">
      <c r="A21" s="9" t="n">
        <v>18</v>
      </c>
      <c r="B21" s="10" t="s">
        <v>114</v>
      </c>
      <c r="C21" s="10" t="s">
        <v>115</v>
      </c>
      <c r="D21" s="10" t="s">
        <v>116</v>
      </c>
      <c r="E21" s="10" t="s">
        <v>117</v>
      </c>
      <c r="F21" s="10" t="s">
        <v>118</v>
      </c>
      <c r="G21" s="11" t="s">
        <v>119</v>
      </c>
      <c r="H21" s="10" t="s">
        <v>113</v>
      </c>
    </row>
    <row r="22" customFormat="false" ht="26.25" hidden="false" customHeight="true" outlineLevel="0" collapsed="false">
      <c r="A22" s="9" t="n">
        <v>19</v>
      </c>
      <c r="B22" s="10" t="s">
        <v>120</v>
      </c>
      <c r="C22" s="10" t="s">
        <v>121</v>
      </c>
      <c r="D22" s="10" t="s">
        <v>122</v>
      </c>
      <c r="E22" s="10" t="s">
        <v>123</v>
      </c>
      <c r="F22" s="10" t="s">
        <v>124</v>
      </c>
      <c r="G22" s="11" t="s">
        <v>125</v>
      </c>
      <c r="H22" s="10" t="s">
        <v>113</v>
      </c>
    </row>
    <row r="23" customFormat="false" ht="26.25" hidden="false" customHeight="true" outlineLevel="0" collapsed="false">
      <c r="A23" s="5" t="n">
        <v>20</v>
      </c>
      <c r="B23" s="6" t="s">
        <v>126</v>
      </c>
      <c r="C23" s="6" t="s">
        <v>127</v>
      </c>
      <c r="D23" s="6" t="s">
        <v>128</v>
      </c>
      <c r="E23" s="6" t="s">
        <v>129</v>
      </c>
      <c r="F23" s="6" t="s">
        <v>130</v>
      </c>
      <c r="G23" s="8" t="s">
        <v>131</v>
      </c>
      <c r="H23" s="6" t="s">
        <v>113</v>
      </c>
    </row>
    <row r="24" customFormat="false" ht="26.25" hidden="false" customHeight="true" outlineLevel="0" collapsed="false">
      <c r="A24" s="9" t="n">
        <v>21</v>
      </c>
      <c r="B24" s="10" t="s">
        <v>132</v>
      </c>
      <c r="C24" s="12" t="s">
        <v>133</v>
      </c>
      <c r="D24" s="10" t="s">
        <v>134</v>
      </c>
      <c r="E24" s="10" t="s">
        <v>135</v>
      </c>
      <c r="F24" s="10" t="s">
        <v>136</v>
      </c>
      <c r="G24" s="11" t="s">
        <v>137</v>
      </c>
      <c r="H24" s="10" t="s">
        <v>113</v>
      </c>
    </row>
    <row r="25" customFormat="false" ht="39" hidden="false" customHeight="true" outlineLevel="0" collapsed="false">
      <c r="A25" s="9" t="n">
        <v>22</v>
      </c>
      <c r="B25" s="10" t="s">
        <v>138</v>
      </c>
      <c r="C25" s="10" t="s">
        <v>139</v>
      </c>
      <c r="D25" s="10" t="s">
        <v>140</v>
      </c>
      <c r="E25" s="10" t="s">
        <v>141</v>
      </c>
      <c r="F25" s="10" t="s">
        <v>142</v>
      </c>
      <c r="G25" s="11" t="s">
        <v>143</v>
      </c>
      <c r="H25" s="10" t="s">
        <v>113</v>
      </c>
    </row>
    <row r="26" customFormat="false" ht="26.25" hidden="false" customHeight="true" outlineLevel="0" collapsed="false">
      <c r="A26" s="13" t="n">
        <v>23</v>
      </c>
      <c r="B26" s="14" t="s">
        <v>144</v>
      </c>
      <c r="C26" s="15" t="s">
        <v>145</v>
      </c>
      <c r="D26" s="14" t="s">
        <v>146</v>
      </c>
      <c r="E26" s="14" t="s">
        <v>147</v>
      </c>
      <c r="F26" s="14" t="s">
        <v>148</v>
      </c>
      <c r="G26" s="16" t="s">
        <v>149</v>
      </c>
      <c r="H26" s="15" t="s">
        <v>67</v>
      </c>
    </row>
    <row r="27" customFormat="false" ht="26.25" hidden="false" customHeight="true" outlineLevel="0" collapsed="false">
      <c r="A27" s="9" t="n">
        <v>24</v>
      </c>
      <c r="B27" s="10" t="s">
        <v>150</v>
      </c>
      <c r="C27" s="10" t="s">
        <v>151</v>
      </c>
      <c r="D27" s="10" t="s">
        <v>152</v>
      </c>
      <c r="E27" s="10" t="s">
        <v>153</v>
      </c>
      <c r="F27" s="12" t="s">
        <v>154</v>
      </c>
      <c r="G27" s="11" t="s">
        <v>155</v>
      </c>
      <c r="H27" s="10" t="s">
        <v>113</v>
      </c>
    </row>
    <row r="29" customFormat="false" ht="15" hidden="false" customHeight="true" outlineLevel="0" collapsed="false">
      <c r="B29" s="17" t="s">
        <v>156</v>
      </c>
      <c r="C29" s="17" t="str">
        <f aca="false">COUNTIF(G4:G27,"新增*")&amp;" 项为合同零覆盖的新增能力"</f>
        <v>14 项为合同零覆盖的新增能力</v>
      </c>
      <c r="E29" s="17" t="str">
        <f aca="false">COUNTIF(G4:G27,"深化*")&amp;" 项为在合同已有能力上的深化"</f>
        <v>9 项为在合同已有能力上的深化</v>
      </c>
      <c r="G29" s="17" t="str">
        <f aca="false">COUNTIF(G4:G27,"复用*")&amp;" 项直接复用"</f>
        <v>1 项直接复用</v>
      </c>
    </row>
    <row r="31" customFormat="false" ht="15" hidden="false" customHeight="true" outlineLevel="0" collapsed="false">
      <c r="B31" s="18" t="s">
        <v>157</v>
      </c>
      <c r="C31" s="19" t="s">
        <v>158</v>
      </c>
    </row>
    <row r="32" customFormat="false" ht="15" hidden="false" customHeight="true" outlineLevel="0" collapsed="false">
      <c r="C32" s="20" t="s">
        <v>159</v>
      </c>
    </row>
    <row r="33" customFormat="false" ht="15" hidden="false" customHeight="true" outlineLevel="0" collapsed="false">
      <c r="C33" s="21" t="s">
        <v>160</v>
      </c>
    </row>
  </sheetData>
  <autoFilter ref="A3:H27"/>
  <mergeCells count="2">
    <mergeCell ref="A1:H1"/>
    <mergeCell ref="A2:H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92"/>
  </cols>
  <sheetData>
    <row r="1" customFormat="false" ht="30" hidden="false" customHeight="true" outlineLevel="0" collapsed="false">
      <c r="A1" s="2" t="s">
        <v>161</v>
      </c>
      <c r="B1" s="2"/>
      <c r="C1" s="2"/>
      <c r="D1" s="2"/>
      <c r="E1" s="2"/>
    </row>
    <row r="2" customFormat="false" ht="19.5" hidden="false" customHeight="true" outlineLevel="0" collapsed="false">
      <c r="A2" s="22" t="s">
        <v>162</v>
      </c>
      <c r="B2" s="22"/>
      <c r="C2" s="22"/>
      <c r="D2" s="22"/>
      <c r="E2" s="22"/>
    </row>
    <row r="3" customFormat="false" ht="33.75" hidden="false" customHeight="true" outlineLevel="0" collapsed="false">
      <c r="A3" s="4" t="s">
        <v>2</v>
      </c>
      <c r="B3" s="4" t="s">
        <v>163</v>
      </c>
      <c r="C3" s="4" t="s">
        <v>164</v>
      </c>
      <c r="D3" s="4" t="s">
        <v>165</v>
      </c>
      <c r="E3" s="4" t="s">
        <v>166</v>
      </c>
    </row>
    <row r="4" customFormat="false" ht="26.25" hidden="false" customHeight="true" outlineLevel="0" collapsed="false">
      <c r="A4" s="23" t="n">
        <v>1</v>
      </c>
      <c r="B4" s="24" t="s">
        <v>16</v>
      </c>
      <c r="C4" s="24" t="s">
        <v>167</v>
      </c>
      <c r="D4" s="24" t="s">
        <v>168</v>
      </c>
      <c r="E4" s="24" t="s">
        <v>169</v>
      </c>
    </row>
    <row r="5" customFormat="false" ht="26.25" hidden="false" customHeight="true" outlineLevel="0" collapsed="false">
      <c r="A5" s="23" t="n">
        <v>2</v>
      </c>
      <c r="B5" s="24" t="s">
        <v>16</v>
      </c>
      <c r="C5" s="24" t="s">
        <v>167</v>
      </c>
      <c r="D5" s="24" t="s">
        <v>170</v>
      </c>
      <c r="E5" s="24" t="s">
        <v>171</v>
      </c>
    </row>
    <row r="6" customFormat="false" ht="39" hidden="false" customHeight="true" outlineLevel="0" collapsed="false">
      <c r="A6" s="23" t="n">
        <v>3</v>
      </c>
      <c r="B6" s="24" t="s">
        <v>16</v>
      </c>
      <c r="C6" s="24" t="s">
        <v>167</v>
      </c>
      <c r="D6" s="24" t="s">
        <v>172</v>
      </c>
      <c r="E6" s="24" t="s">
        <v>173</v>
      </c>
    </row>
    <row r="7" customFormat="false" ht="39" hidden="false" customHeight="true" outlineLevel="0" collapsed="false">
      <c r="A7" s="23" t="n">
        <v>4</v>
      </c>
      <c r="B7" s="24" t="s">
        <v>16</v>
      </c>
      <c r="C7" s="24" t="s">
        <v>174</v>
      </c>
      <c r="D7" s="24" t="s">
        <v>38</v>
      </c>
      <c r="E7" s="24" t="s">
        <v>175</v>
      </c>
    </row>
    <row r="8" customFormat="false" ht="26.25" hidden="false" customHeight="true" outlineLevel="0" collapsed="false">
      <c r="A8" s="23" t="n">
        <v>5</v>
      </c>
      <c r="B8" s="24" t="s">
        <v>16</v>
      </c>
      <c r="C8" s="24" t="s">
        <v>176</v>
      </c>
      <c r="D8" s="24" t="s">
        <v>177</v>
      </c>
      <c r="E8" s="24" t="s">
        <v>178</v>
      </c>
    </row>
    <row r="9" customFormat="false" ht="26.25" hidden="false" customHeight="true" outlineLevel="0" collapsed="false">
      <c r="A9" s="23" t="n">
        <v>6</v>
      </c>
      <c r="B9" s="24" t="s">
        <v>16</v>
      </c>
      <c r="C9" s="24" t="s">
        <v>176</v>
      </c>
      <c r="D9" s="24" t="s">
        <v>179</v>
      </c>
      <c r="E9" s="24" t="s">
        <v>180</v>
      </c>
    </row>
    <row r="10" customFormat="false" ht="26.25" hidden="false" customHeight="true" outlineLevel="0" collapsed="false">
      <c r="A10" s="23" t="n">
        <v>7</v>
      </c>
      <c r="B10" s="24" t="s">
        <v>16</v>
      </c>
      <c r="C10" s="24" t="s">
        <v>176</v>
      </c>
      <c r="D10" s="24" t="s">
        <v>56</v>
      </c>
      <c r="E10" s="24" t="s">
        <v>181</v>
      </c>
    </row>
    <row r="11" customFormat="false" ht="39" hidden="false" customHeight="true" outlineLevel="0" collapsed="false">
      <c r="A11" s="23" t="n">
        <v>8</v>
      </c>
      <c r="B11" s="24" t="s">
        <v>16</v>
      </c>
      <c r="C11" s="24" t="s">
        <v>182</v>
      </c>
      <c r="D11" s="24" t="s">
        <v>183</v>
      </c>
      <c r="E11" s="24" t="s">
        <v>184</v>
      </c>
    </row>
    <row r="12" customFormat="false" ht="39" hidden="false" customHeight="true" outlineLevel="0" collapsed="false">
      <c r="A12" s="23" t="n">
        <v>9</v>
      </c>
      <c r="B12" s="24" t="s">
        <v>16</v>
      </c>
      <c r="C12" s="24" t="s">
        <v>182</v>
      </c>
      <c r="D12" s="24" t="s">
        <v>185</v>
      </c>
      <c r="E12" s="24" t="s">
        <v>186</v>
      </c>
    </row>
    <row r="13" customFormat="false" ht="39" hidden="false" customHeight="true" outlineLevel="0" collapsed="false">
      <c r="A13" s="5" t="n">
        <v>10</v>
      </c>
      <c r="B13" s="6" t="s">
        <v>65</v>
      </c>
      <c r="C13" s="6" t="s">
        <v>187</v>
      </c>
      <c r="D13" s="6" t="s">
        <v>188</v>
      </c>
      <c r="E13" s="6" t="s">
        <v>189</v>
      </c>
    </row>
    <row r="14" customFormat="false" ht="39" hidden="false" customHeight="true" outlineLevel="0" collapsed="false">
      <c r="A14" s="5" t="n">
        <v>11</v>
      </c>
      <c r="B14" s="6" t="s">
        <v>65</v>
      </c>
      <c r="C14" s="6" t="s">
        <v>187</v>
      </c>
      <c r="D14" s="6" t="s">
        <v>190</v>
      </c>
      <c r="E14" s="6" t="s">
        <v>191</v>
      </c>
    </row>
    <row r="15" customFormat="false" ht="26.25" hidden="false" customHeight="true" outlineLevel="0" collapsed="false">
      <c r="A15" s="5" t="n">
        <v>12</v>
      </c>
      <c r="B15" s="6" t="s">
        <v>65</v>
      </c>
      <c r="C15" s="6" t="s">
        <v>187</v>
      </c>
      <c r="D15" s="6" t="s">
        <v>192</v>
      </c>
      <c r="E15" s="6" t="s">
        <v>193</v>
      </c>
    </row>
    <row r="16" customFormat="false" ht="26.25" hidden="false" customHeight="true" outlineLevel="0" collapsed="false">
      <c r="A16" s="5" t="n">
        <v>13</v>
      </c>
      <c r="B16" s="6" t="s">
        <v>65</v>
      </c>
      <c r="C16" s="6" t="s">
        <v>194</v>
      </c>
      <c r="D16" s="6" t="s">
        <v>195</v>
      </c>
      <c r="E16" s="6" t="s">
        <v>196</v>
      </c>
    </row>
    <row r="17" customFormat="false" ht="26.25" hidden="false" customHeight="true" outlineLevel="0" collapsed="false">
      <c r="A17" s="5" t="n">
        <v>14</v>
      </c>
      <c r="B17" s="6" t="s">
        <v>65</v>
      </c>
      <c r="C17" s="6" t="s">
        <v>194</v>
      </c>
      <c r="D17" s="6" t="s">
        <v>197</v>
      </c>
      <c r="E17" s="6" t="s">
        <v>198</v>
      </c>
    </row>
    <row r="18" customFormat="false" ht="39" hidden="false" customHeight="true" outlineLevel="0" collapsed="false">
      <c r="A18" s="5" t="n">
        <v>15</v>
      </c>
      <c r="B18" s="6" t="s">
        <v>65</v>
      </c>
      <c r="C18" s="6" t="s">
        <v>194</v>
      </c>
      <c r="D18" s="6" t="s">
        <v>199</v>
      </c>
      <c r="E18" s="6" t="s">
        <v>200</v>
      </c>
    </row>
    <row r="19" customFormat="false" ht="26.25" hidden="false" customHeight="true" outlineLevel="0" collapsed="false">
      <c r="A19" s="5" t="n">
        <v>16</v>
      </c>
      <c r="B19" s="6" t="s">
        <v>65</v>
      </c>
      <c r="C19" s="6" t="s">
        <v>201</v>
      </c>
      <c r="D19" s="6" t="s">
        <v>202</v>
      </c>
      <c r="E19" s="6" t="s">
        <v>203</v>
      </c>
    </row>
    <row r="20" customFormat="false" ht="26.25" hidden="false" customHeight="true" outlineLevel="0" collapsed="false">
      <c r="A20" s="5" t="n">
        <v>17</v>
      </c>
      <c r="B20" s="6" t="s">
        <v>65</v>
      </c>
      <c r="C20" s="6" t="s">
        <v>201</v>
      </c>
      <c r="D20" s="6" t="s">
        <v>204</v>
      </c>
      <c r="E20" s="6" t="s">
        <v>205</v>
      </c>
    </row>
    <row r="21" customFormat="false" ht="26.25" hidden="false" customHeight="true" outlineLevel="0" collapsed="false">
      <c r="A21" s="9" t="n">
        <v>18</v>
      </c>
      <c r="B21" s="10" t="s">
        <v>84</v>
      </c>
      <c r="C21" s="10" t="s">
        <v>206</v>
      </c>
      <c r="D21" s="10" t="s">
        <v>207</v>
      </c>
      <c r="E21" s="10" t="s">
        <v>208</v>
      </c>
    </row>
    <row r="22" customFormat="false" ht="26.25" hidden="false" customHeight="true" outlineLevel="0" collapsed="false">
      <c r="A22" s="9" t="n">
        <v>19</v>
      </c>
      <c r="B22" s="10" t="s">
        <v>84</v>
      </c>
      <c r="C22" s="10" t="s">
        <v>206</v>
      </c>
      <c r="D22" s="10" t="s">
        <v>81</v>
      </c>
      <c r="E22" s="10" t="s">
        <v>209</v>
      </c>
    </row>
    <row r="23" customFormat="false" ht="39" hidden="false" customHeight="true" outlineLevel="0" collapsed="false">
      <c r="A23" s="9" t="n">
        <v>20</v>
      </c>
      <c r="B23" s="10" t="s">
        <v>84</v>
      </c>
      <c r="C23" s="10" t="s">
        <v>210</v>
      </c>
      <c r="D23" s="10" t="s">
        <v>211</v>
      </c>
      <c r="E23" s="10" t="s">
        <v>212</v>
      </c>
    </row>
    <row r="24" customFormat="false" ht="39" hidden="false" customHeight="true" outlineLevel="0" collapsed="false">
      <c r="A24" s="9" t="n">
        <v>21</v>
      </c>
      <c r="B24" s="10" t="s">
        <v>84</v>
      </c>
      <c r="C24" s="10" t="s">
        <v>213</v>
      </c>
      <c r="D24" s="10" t="s">
        <v>214</v>
      </c>
      <c r="E24" s="10" t="s">
        <v>215</v>
      </c>
    </row>
    <row r="25" customFormat="false" ht="26.25" hidden="false" customHeight="true" outlineLevel="0" collapsed="false">
      <c r="A25" s="9" t="n">
        <v>22</v>
      </c>
      <c r="B25" s="10" t="s">
        <v>84</v>
      </c>
      <c r="C25" s="10" t="s">
        <v>213</v>
      </c>
      <c r="D25" s="10" t="s">
        <v>216</v>
      </c>
      <c r="E25" s="10" t="s">
        <v>217</v>
      </c>
    </row>
    <row r="26" customFormat="false" ht="26.25" hidden="false" customHeight="true" outlineLevel="0" collapsed="false">
      <c r="A26" s="9" t="n">
        <v>23</v>
      </c>
      <c r="B26" s="10" t="s">
        <v>84</v>
      </c>
      <c r="C26" s="10" t="s">
        <v>218</v>
      </c>
      <c r="D26" s="10" t="s">
        <v>219</v>
      </c>
      <c r="E26" s="10" t="s">
        <v>220</v>
      </c>
    </row>
    <row r="27" customFormat="false" ht="26.25" hidden="false" customHeight="true" outlineLevel="0" collapsed="false">
      <c r="A27" s="9" t="n">
        <v>24</v>
      </c>
      <c r="B27" s="10" t="s">
        <v>84</v>
      </c>
      <c r="C27" s="10" t="s">
        <v>218</v>
      </c>
      <c r="D27" s="10" t="s">
        <v>221</v>
      </c>
      <c r="E27" s="10" t="s">
        <v>222</v>
      </c>
    </row>
    <row r="28" customFormat="false" ht="39" hidden="false" customHeight="true" outlineLevel="0" collapsed="false">
      <c r="A28" s="9" t="n">
        <v>25</v>
      </c>
      <c r="B28" s="10" t="s">
        <v>84</v>
      </c>
      <c r="C28" s="10" t="s">
        <v>218</v>
      </c>
      <c r="D28" s="10" t="s">
        <v>223</v>
      </c>
      <c r="E28" s="10" t="s">
        <v>224</v>
      </c>
    </row>
    <row r="29" customFormat="false" ht="26.25" hidden="false" customHeight="true" outlineLevel="0" collapsed="false">
      <c r="A29" s="25" t="n">
        <v>26</v>
      </c>
      <c r="B29" s="26" t="s">
        <v>113</v>
      </c>
      <c r="C29" s="26" t="s">
        <v>225</v>
      </c>
      <c r="D29" s="26" t="s">
        <v>226</v>
      </c>
      <c r="E29" s="26" t="s">
        <v>227</v>
      </c>
    </row>
    <row r="30" customFormat="false" ht="26.25" hidden="false" customHeight="true" outlineLevel="0" collapsed="false">
      <c r="A30" s="25" t="n">
        <v>27</v>
      </c>
      <c r="B30" s="26" t="s">
        <v>113</v>
      </c>
      <c r="C30" s="26" t="s">
        <v>225</v>
      </c>
      <c r="D30" s="26" t="s">
        <v>228</v>
      </c>
      <c r="E30" s="26" t="s">
        <v>229</v>
      </c>
    </row>
    <row r="31" customFormat="false" ht="26.25" hidden="false" customHeight="true" outlineLevel="0" collapsed="false">
      <c r="A31" s="25" t="n">
        <v>28</v>
      </c>
      <c r="B31" s="26" t="s">
        <v>113</v>
      </c>
      <c r="C31" s="26" t="s">
        <v>225</v>
      </c>
      <c r="D31" s="26" t="s">
        <v>230</v>
      </c>
      <c r="E31" s="26" t="s">
        <v>231</v>
      </c>
    </row>
    <row r="32" customFormat="false" ht="26.25" hidden="false" customHeight="true" outlineLevel="0" collapsed="false">
      <c r="A32" s="25" t="n">
        <v>29</v>
      </c>
      <c r="B32" s="26" t="s">
        <v>113</v>
      </c>
      <c r="C32" s="26" t="s">
        <v>232</v>
      </c>
      <c r="D32" s="26" t="s">
        <v>111</v>
      </c>
      <c r="E32" s="26" t="s">
        <v>233</v>
      </c>
    </row>
    <row r="33" customFormat="false" ht="26.25" hidden="false" customHeight="true" outlineLevel="0" collapsed="false">
      <c r="A33" s="25" t="n">
        <v>30</v>
      </c>
      <c r="B33" s="26" t="s">
        <v>113</v>
      </c>
      <c r="C33" s="26" t="s">
        <v>232</v>
      </c>
      <c r="D33" s="26" t="s">
        <v>117</v>
      </c>
      <c r="E33" s="26" t="s">
        <v>234</v>
      </c>
    </row>
    <row r="34" customFormat="false" ht="26.25" hidden="false" customHeight="true" outlineLevel="0" collapsed="false">
      <c r="A34" s="25" t="n">
        <v>31</v>
      </c>
      <c r="B34" s="26" t="s">
        <v>113</v>
      </c>
      <c r="C34" s="26" t="s">
        <v>232</v>
      </c>
      <c r="D34" s="26" t="s">
        <v>235</v>
      </c>
      <c r="E34" s="26" t="s">
        <v>236</v>
      </c>
    </row>
    <row r="35" customFormat="false" ht="26.25" hidden="false" customHeight="true" outlineLevel="0" collapsed="false">
      <c r="A35" s="25" t="n">
        <v>32</v>
      </c>
      <c r="B35" s="26" t="s">
        <v>113</v>
      </c>
      <c r="C35" s="26" t="s">
        <v>237</v>
      </c>
      <c r="D35" s="26" t="s">
        <v>238</v>
      </c>
      <c r="E35" s="26" t="s">
        <v>239</v>
      </c>
    </row>
    <row r="36" customFormat="false" ht="26.25" hidden="false" customHeight="true" outlineLevel="0" collapsed="false">
      <c r="A36" s="25" t="n">
        <v>33</v>
      </c>
      <c r="B36" s="26" t="s">
        <v>113</v>
      </c>
      <c r="C36" s="26" t="s">
        <v>237</v>
      </c>
      <c r="D36" s="26" t="s">
        <v>240</v>
      </c>
      <c r="E36" s="26" t="s">
        <v>241</v>
      </c>
    </row>
    <row r="37" customFormat="false" ht="26.25" hidden="false" customHeight="true" outlineLevel="0" collapsed="false">
      <c r="A37" s="25" t="n">
        <v>34</v>
      </c>
      <c r="B37" s="26" t="s">
        <v>113</v>
      </c>
      <c r="C37" s="26" t="s">
        <v>242</v>
      </c>
      <c r="D37" s="26" t="s">
        <v>243</v>
      </c>
      <c r="E37" s="26" t="s">
        <v>244</v>
      </c>
    </row>
    <row r="38" customFormat="false" ht="26.25" hidden="false" customHeight="true" outlineLevel="0" collapsed="false">
      <c r="A38" s="25" t="n">
        <v>35</v>
      </c>
      <c r="B38" s="26" t="s">
        <v>113</v>
      </c>
      <c r="C38" s="26" t="s">
        <v>242</v>
      </c>
      <c r="D38" s="26" t="s">
        <v>245</v>
      </c>
      <c r="E38" s="26" t="s">
        <v>246</v>
      </c>
    </row>
    <row r="39" customFormat="false" ht="39" hidden="false" customHeight="true" outlineLevel="0" collapsed="false">
      <c r="A39" s="25" t="n">
        <v>36</v>
      </c>
      <c r="B39" s="26" t="s">
        <v>113</v>
      </c>
      <c r="C39" s="26" t="s">
        <v>247</v>
      </c>
      <c r="D39" s="26" t="s">
        <v>248</v>
      </c>
      <c r="E39" s="26" t="s">
        <v>249</v>
      </c>
    </row>
  </sheetData>
  <autoFilter ref="A3:E39"/>
  <mergeCells count="2">
    <mergeCell ref="A1:E1"/>
    <mergeCell ref="A2:E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8"/>
    <col collapsed="false" customWidth="true" hidden="false" outlineLevel="0" max="5" min="5" style="1" width="54"/>
    <col collapsed="false" customWidth="true" hidden="false" outlineLevel="0" max="6" min="6" style="1" width="34"/>
  </cols>
  <sheetData>
    <row r="1" customFormat="false" ht="30" hidden="false" customHeight="true" outlineLevel="0" collapsed="false">
      <c r="A1" s="2" t="s">
        <v>250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251</v>
      </c>
      <c r="B2" s="3"/>
      <c r="C2" s="3"/>
      <c r="D2" s="3"/>
      <c r="E2" s="3"/>
      <c r="F2" s="3"/>
    </row>
    <row r="3" customFormat="false" ht="33.75" hidden="false" customHeight="true" outlineLevel="0" collapsed="false">
      <c r="A3" s="4" t="s">
        <v>2</v>
      </c>
      <c r="B3" s="4" t="s">
        <v>163</v>
      </c>
      <c r="C3" s="4" t="s">
        <v>252</v>
      </c>
      <c r="D3" s="4" t="s">
        <v>253</v>
      </c>
      <c r="E3" s="4" t="s">
        <v>254</v>
      </c>
      <c r="F3" s="4" t="s">
        <v>255</v>
      </c>
    </row>
    <row r="4" customFormat="false" ht="39" hidden="false" customHeight="true" outlineLevel="0" collapsed="false">
      <c r="A4" s="23" t="n">
        <v>1</v>
      </c>
      <c r="B4" s="24" t="s">
        <v>16</v>
      </c>
      <c r="C4" s="24" t="s">
        <v>256</v>
      </c>
      <c r="D4" s="24" t="s">
        <v>257</v>
      </c>
      <c r="E4" s="24" t="s">
        <v>258</v>
      </c>
      <c r="F4" s="24" t="s">
        <v>259</v>
      </c>
    </row>
    <row r="5" customFormat="false" ht="15" hidden="false" customHeight="true" outlineLevel="0" collapsed="false">
      <c r="A5" s="23" t="n">
        <v>2</v>
      </c>
      <c r="B5" s="24" t="s">
        <v>16</v>
      </c>
      <c r="C5" s="27" t="s">
        <v>260</v>
      </c>
      <c r="D5" s="24" t="s">
        <v>261</v>
      </c>
      <c r="E5" s="24" t="s">
        <v>262</v>
      </c>
      <c r="F5" s="24" t="s">
        <v>263</v>
      </c>
    </row>
    <row r="6" customFormat="false" ht="15" hidden="false" customHeight="true" outlineLevel="0" collapsed="false">
      <c r="A6" s="23" t="n">
        <v>3</v>
      </c>
      <c r="B6" s="24" t="s">
        <v>16</v>
      </c>
      <c r="C6" s="24" t="s">
        <v>264</v>
      </c>
      <c r="D6" s="24" t="s">
        <v>265</v>
      </c>
      <c r="E6" s="24" t="s">
        <v>266</v>
      </c>
      <c r="F6" s="24" t="s">
        <v>267</v>
      </c>
    </row>
    <row r="7" customFormat="false" ht="26.25" hidden="false" customHeight="true" outlineLevel="0" collapsed="false">
      <c r="A7" s="23"/>
      <c r="B7" s="24" t="s">
        <v>16</v>
      </c>
      <c r="C7" s="24" t="s">
        <v>268</v>
      </c>
      <c r="D7" s="24"/>
      <c r="E7" s="24"/>
      <c r="F7" s="24" t="s">
        <v>269</v>
      </c>
    </row>
    <row r="8" customFormat="false" ht="26.25" hidden="false" customHeight="true" outlineLevel="0" collapsed="false">
      <c r="A8" s="5" t="n">
        <v>4</v>
      </c>
      <c r="B8" s="6" t="s">
        <v>65</v>
      </c>
      <c r="C8" s="6" t="s">
        <v>270</v>
      </c>
      <c r="D8" s="6" t="s">
        <v>271</v>
      </c>
      <c r="E8" s="6" t="s">
        <v>272</v>
      </c>
      <c r="F8" s="6" t="s">
        <v>273</v>
      </c>
    </row>
    <row r="9" customFormat="false" ht="15" hidden="false" customHeight="true" outlineLevel="0" collapsed="false">
      <c r="A9" s="5" t="n">
        <v>5</v>
      </c>
      <c r="B9" s="6" t="s">
        <v>65</v>
      </c>
      <c r="C9" s="6" t="s">
        <v>274</v>
      </c>
      <c r="D9" s="6" t="s">
        <v>275</v>
      </c>
      <c r="E9" s="6" t="s">
        <v>276</v>
      </c>
      <c r="F9" s="6" t="s">
        <v>277</v>
      </c>
    </row>
    <row r="10" customFormat="false" ht="15" hidden="false" customHeight="true" outlineLevel="0" collapsed="false">
      <c r="A10" s="5" t="n">
        <v>6</v>
      </c>
      <c r="B10" s="6" t="s">
        <v>65</v>
      </c>
      <c r="C10" s="6" t="s">
        <v>278</v>
      </c>
      <c r="D10" s="6" t="s">
        <v>279</v>
      </c>
      <c r="E10" s="6" t="s">
        <v>280</v>
      </c>
      <c r="F10" s="6" t="s">
        <v>281</v>
      </c>
    </row>
    <row r="11" customFormat="false" ht="39" hidden="false" customHeight="true" outlineLevel="0" collapsed="false">
      <c r="A11" s="5"/>
      <c r="B11" s="6" t="s">
        <v>65</v>
      </c>
      <c r="C11" s="6" t="s">
        <v>268</v>
      </c>
      <c r="D11" s="6"/>
      <c r="E11" s="6"/>
      <c r="F11" s="6" t="s">
        <v>282</v>
      </c>
    </row>
    <row r="12" customFormat="false" ht="26.25" hidden="false" customHeight="true" outlineLevel="0" collapsed="false">
      <c r="A12" s="9" t="n">
        <v>7</v>
      </c>
      <c r="B12" s="10" t="s">
        <v>84</v>
      </c>
      <c r="C12" s="10" t="s">
        <v>283</v>
      </c>
      <c r="D12" s="10" t="s">
        <v>284</v>
      </c>
      <c r="E12" s="10" t="s">
        <v>285</v>
      </c>
      <c r="F12" s="10" t="s">
        <v>286</v>
      </c>
    </row>
    <row r="13" customFormat="false" ht="26.25" hidden="false" customHeight="true" outlineLevel="0" collapsed="false">
      <c r="A13" s="9" t="n">
        <v>8</v>
      </c>
      <c r="B13" s="10" t="s">
        <v>84</v>
      </c>
      <c r="C13" s="10" t="s">
        <v>287</v>
      </c>
      <c r="D13" s="10" t="s">
        <v>288</v>
      </c>
      <c r="E13" s="10" t="s">
        <v>289</v>
      </c>
      <c r="F13" s="10" t="s">
        <v>290</v>
      </c>
    </row>
    <row r="14" customFormat="false" ht="15" hidden="false" customHeight="true" outlineLevel="0" collapsed="false">
      <c r="A14" s="9" t="n">
        <v>9</v>
      </c>
      <c r="B14" s="10" t="s">
        <v>84</v>
      </c>
      <c r="C14" s="10" t="s">
        <v>291</v>
      </c>
      <c r="D14" s="10" t="s">
        <v>292</v>
      </c>
      <c r="E14" s="10" t="s">
        <v>293</v>
      </c>
      <c r="F14" s="10" t="s">
        <v>294</v>
      </c>
    </row>
    <row r="15" customFormat="false" ht="26.25" hidden="false" customHeight="true" outlineLevel="0" collapsed="false">
      <c r="A15" s="9"/>
      <c r="B15" s="10" t="s">
        <v>84</v>
      </c>
      <c r="C15" s="10" t="s">
        <v>268</v>
      </c>
      <c r="D15" s="10"/>
      <c r="E15" s="10"/>
      <c r="F15" s="10" t="s">
        <v>295</v>
      </c>
    </row>
    <row r="16" customFormat="false" ht="39" hidden="false" customHeight="true" outlineLevel="0" collapsed="false">
      <c r="A16" s="25" t="n">
        <v>10</v>
      </c>
      <c r="B16" s="26" t="s">
        <v>113</v>
      </c>
      <c r="C16" s="28" t="s">
        <v>296</v>
      </c>
      <c r="D16" s="26" t="s">
        <v>297</v>
      </c>
      <c r="E16" s="26" t="s">
        <v>298</v>
      </c>
      <c r="F16" s="26" t="s">
        <v>299</v>
      </c>
    </row>
    <row r="17" customFormat="false" ht="15" hidden="false" customHeight="true" outlineLevel="0" collapsed="false">
      <c r="A17" s="25" t="n">
        <v>11</v>
      </c>
      <c r="B17" s="26" t="s">
        <v>113</v>
      </c>
      <c r="C17" s="26" t="s">
        <v>300</v>
      </c>
      <c r="D17" s="26" t="s">
        <v>301</v>
      </c>
      <c r="E17" s="26" t="s">
        <v>302</v>
      </c>
      <c r="F17" s="26" t="s">
        <v>303</v>
      </c>
    </row>
    <row r="18" customFormat="false" ht="15" hidden="false" customHeight="true" outlineLevel="0" collapsed="false">
      <c r="A18" s="25" t="n">
        <v>12</v>
      </c>
      <c r="B18" s="26" t="s">
        <v>113</v>
      </c>
      <c r="C18" s="26" t="s">
        <v>304</v>
      </c>
      <c r="D18" s="26" t="s">
        <v>305</v>
      </c>
      <c r="E18" s="28" t="s">
        <v>306</v>
      </c>
      <c r="F18" s="26" t="s">
        <v>307</v>
      </c>
    </row>
    <row r="19" customFormat="false" ht="26.25" hidden="false" customHeight="true" outlineLevel="0" collapsed="false">
      <c r="A19" s="25"/>
      <c r="B19" s="26" t="s">
        <v>113</v>
      </c>
      <c r="C19" s="26" t="s">
        <v>268</v>
      </c>
      <c r="D19" s="26"/>
      <c r="E19" s="26"/>
      <c r="F19" s="26" t="s">
        <v>308</v>
      </c>
    </row>
  </sheetData>
  <mergeCells count="6">
    <mergeCell ref="A1:F1"/>
    <mergeCell ref="A2:F2"/>
    <mergeCell ref="C7:E7"/>
    <mergeCell ref="C11:E11"/>
    <mergeCell ref="C15:E15"/>
    <mergeCell ref="C19:E1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0"/>
  </cols>
  <sheetData>
    <row r="1" customFormat="false" ht="30" hidden="false" customHeight="true" outlineLevel="0" collapsed="false">
      <c r="A1" s="2" t="s">
        <v>309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310</v>
      </c>
      <c r="B2" s="3"/>
      <c r="C2" s="3"/>
      <c r="D2" s="3"/>
      <c r="E2" s="3"/>
      <c r="F2" s="3"/>
    </row>
    <row r="3" customFormat="false" ht="33.75" hidden="false" customHeight="true" outlineLevel="0" collapsed="false">
      <c r="A3" s="4" t="s">
        <v>2</v>
      </c>
      <c r="B3" s="4" t="s">
        <v>163</v>
      </c>
      <c r="C3" s="4" t="s">
        <v>311</v>
      </c>
      <c r="D3" s="4" t="s">
        <v>312</v>
      </c>
      <c r="E3" s="4" t="s">
        <v>313</v>
      </c>
      <c r="F3" s="4" t="s">
        <v>314</v>
      </c>
    </row>
    <row r="4" customFormat="false" ht="15" hidden="false" customHeight="true" outlineLevel="0" collapsed="false">
      <c r="A4" s="29" t="n">
        <v>1</v>
      </c>
      <c r="B4" s="30" t="s">
        <v>16</v>
      </c>
      <c r="C4" s="31" t="n">
        <v>9</v>
      </c>
      <c r="D4" s="31" t="n">
        <v>75</v>
      </c>
      <c r="E4" s="31" t="n">
        <v>15</v>
      </c>
      <c r="F4" s="32" t="n">
        <f aca="false">E4/$E$8</f>
        <v>0.223880597014925</v>
      </c>
    </row>
    <row r="5" customFormat="false" ht="15" hidden="false" customHeight="true" outlineLevel="0" collapsed="false">
      <c r="A5" s="29" t="n">
        <v>2</v>
      </c>
      <c r="B5" s="30" t="s">
        <v>65</v>
      </c>
      <c r="C5" s="31" t="n">
        <v>8</v>
      </c>
      <c r="D5" s="31" t="n">
        <v>75</v>
      </c>
      <c r="E5" s="31" t="n">
        <v>15</v>
      </c>
      <c r="F5" s="32" t="n">
        <f aca="false">E5/$E$8</f>
        <v>0.223880597014925</v>
      </c>
    </row>
    <row r="6" customFormat="false" ht="15" hidden="false" customHeight="true" outlineLevel="0" collapsed="false">
      <c r="A6" s="29" t="n">
        <v>3</v>
      </c>
      <c r="B6" s="30" t="s">
        <v>84</v>
      </c>
      <c r="C6" s="31" t="n">
        <v>8</v>
      </c>
      <c r="D6" s="31" t="n">
        <v>75</v>
      </c>
      <c r="E6" s="31" t="n">
        <v>15</v>
      </c>
      <c r="F6" s="32" t="n">
        <f aca="false">E6/$E$8</f>
        <v>0.223880597014925</v>
      </c>
    </row>
    <row r="7" customFormat="false" ht="15" hidden="false" customHeight="true" outlineLevel="0" collapsed="false">
      <c r="A7" s="29" t="n">
        <v>4</v>
      </c>
      <c r="B7" s="30" t="s">
        <v>113</v>
      </c>
      <c r="C7" s="31" t="n">
        <v>11</v>
      </c>
      <c r="D7" s="31" t="n">
        <v>110</v>
      </c>
      <c r="E7" s="31" t="n">
        <v>22</v>
      </c>
      <c r="F7" s="32" t="n">
        <f aca="false">E7/$E$8</f>
        <v>0.328358208955224</v>
      </c>
    </row>
    <row r="8" customFormat="false" ht="15" hidden="false" customHeight="true" outlineLevel="0" collapsed="false">
      <c r="A8" s="33"/>
      <c r="B8" s="34" t="s">
        <v>315</v>
      </c>
      <c r="C8" s="35" t="n">
        <f aca="false">SUM(C4:C7)</f>
        <v>36</v>
      </c>
      <c r="D8" s="35" t="n">
        <f aca="false">SUM(D4:D7)</f>
        <v>335</v>
      </c>
      <c r="E8" s="35" t="n">
        <f aca="false">SUM(E4:E7)</f>
        <v>67</v>
      </c>
      <c r="F8" s="36" t="n">
        <f aca="false">E8/$E$8</f>
        <v>1</v>
      </c>
    </row>
    <row r="10" customFormat="false" ht="15" hidden="false" customHeight="true" outlineLevel="0" collapsed="false">
      <c r="B10" s="37" t="s">
        <v>316</v>
      </c>
    </row>
    <row r="11" customFormat="false" ht="15" hidden="false" customHeight="true" outlineLevel="0" collapsed="false">
      <c r="B11" s="38" t="s">
        <v>317</v>
      </c>
    </row>
    <row r="12" customFormat="false" ht="15" hidden="false" customHeight="true" outlineLevel="0" collapsed="false">
      <c r="B12" s="38" t="s">
        <v>318</v>
      </c>
    </row>
    <row r="13" customFormat="false" ht="15" hidden="false" customHeight="true" outlineLevel="0" collapsed="false">
      <c r="B13" s="38" t="s">
        <v>319</v>
      </c>
    </row>
    <row r="14" customFormat="false" ht="15" hidden="false" customHeight="true" outlineLevel="0" collapsed="false">
      <c r="B14" s="38" t="s">
        <v>320</v>
      </c>
    </row>
  </sheetData>
  <mergeCells count="2">
    <mergeCell ref="A1:F1"/>
    <mergeCell ref="A2:F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2026-10-14T07:05:47Z</dcterms:created>
  <dc:creator>openpyxl</dc:creator>
  <dc:description/>
  <dc:language>en-US</dc:language>
  <cp:lastModifiedBy/>
  <dcterms:modified xsi:type="dcterms:W3CDTF">2026-10-14T07:06:31Z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