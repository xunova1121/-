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季度销售" state="visible" r:id="rId4"/>
    <sheet sheetId="2" name="目标完成" state="visible" r:id="rId5"/>
    <sheet sheetId="3" name="费用明细" state="visible" r:id="rId6"/>
  </sheets>
  <calcPr calcId="171027" fullCalcOnLoad="1"/>
</workbook>
</file>

<file path=xl/sharedStrings.xml><?xml version="1.0" encoding="utf-8"?>
<sst xmlns="http://schemas.openxmlformats.org/spreadsheetml/2006/main" count="22" uniqueCount="21">
  <si>
    <t>区域</t>
  </si>
  <si>
    <t>2025年（万元）</t>
  </si>
  <si>
    <t>2026年（万元）</t>
  </si>
  <si>
    <t>同比增长</t>
  </si>
  <si>
    <t>华东</t>
  </si>
  <si>
    <t>华南</t>
  </si>
  <si>
    <t>华北</t>
  </si>
  <si>
    <t>合计</t>
  </si>
  <si>
    <t>指标</t>
  </si>
  <si>
    <t>目标</t>
  </si>
  <si>
    <t>实际</t>
  </si>
  <si>
    <t>完成率</t>
  </si>
  <si>
    <t>销售额（万元）</t>
  </si>
  <si>
    <t>新签客户（家）</t>
  </si>
  <si>
    <t>回款额（万元）</t>
  </si>
  <si>
    <t>日期</t>
  </si>
  <si>
    <t>项目</t>
  </si>
  <si>
    <t>金额</t>
  </si>
  <si>
    <t>展会费用</t>
  </si>
  <si>
    <t>广告投放</t>
  </si>
  <si>
    <t>客户活动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</si>
</sst>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yyyy-mm-dd"/>
    <numFmt numFmtId="166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0.5"/>
      <name val="微软雅黑"/>
    </font>
    <font>
      <sz val="10.5"/>
      <name val="微软雅黑"/>
    </font>
    <font>
      <b/>
      <sz val="10.5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2D8B8B"/>
      </patternFill>
    </fill>
    <fill>
      <patternFill patternType="solid">
        <fgColor rgb="FFDCEFEF"/>
      </patternFill>
    </fill>
  </fills>
  <borders count="2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5" fontId="2" fillId="0" borderId="1" xfId="0" applyNumberFormat="1" applyFont="1" applyBorder="1" applyAlignment="1">
      <alignment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vertical="center" wrapText="1"/>
    </xf>
    <xf numFmtId="166" fontId="2" fillId="3" borderId="1" xfId="0" applyNumberFormat="1" applyFont="1" applyFill="1" applyBorder="1" applyAlignment="1">
      <alignment horizontal="right" vertical="center" wrapText="1"/>
    </xf>
    <xf numFmtId="166" fontId="3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7" customWidth="1"/>
    <col min="4" max="4" width="11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 spans="1:4" x14ac:dyDescent="0.25">
      <c r="A2" s="2" t="s">
        <v>4</v>
      </c>
      <c r="B2" s="3">
        <v>500</v>
      </c>
      <c r="C2" s="3">
        <v>612</v>
      </c>
      <c r="D2" s="4">
        <f>IFERROR((C2-B2)/B2,"")</f>
        <v>0.224</v>
      </c>
    </row>
    <row r="3" ht="20" customHeight="1" spans="1:4" x14ac:dyDescent="0.25">
      <c r="A3" s="5" t="s">
        <v>5</v>
      </c>
      <c r="B3" s="6">
        <v>360</v>
      </c>
      <c r="C3" s="6">
        <v>418</v>
      </c>
      <c r="D3" s="7">
        <f>IFERROR((C3-B3)/B3,"")</f>
        <v>0.16111111111111112</v>
      </c>
    </row>
    <row r="4" ht="20" customHeight="1" spans="1:4" x14ac:dyDescent="0.25">
      <c r="A4" s="2" t="s">
        <v>6</v>
      </c>
      <c r="B4" s="3">
        <v>210</v>
      </c>
      <c r="C4" s="3">
        <v>206</v>
      </c>
      <c r="D4" s="4">
        <f>IFERROR((C4-B4)/B4,"")</f>
        <v>-0.01904761904761905</v>
      </c>
    </row>
    <row r="5" ht="20" customHeight="1" spans="1:4" x14ac:dyDescent="0.25">
      <c r="A5" s="8" t="s">
        <v>7</v>
      </c>
      <c r="B5" s="9">
        <f>SUM(B2:B4)</f>
        <v>1070</v>
      </c>
      <c r="C5" s="9">
        <f>SUM(C2:C4)</f>
        <v>1236</v>
      </c>
      <c r="D5" s="10">
        <f>IFERROR((C5-B5)/B5,"")</f>
        <v>0.15514018691588785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8" customWidth="1"/>
  </cols>
  <sheetData>
    <row r="1" ht="24" customHeight="1" spans="1:4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ht="20" customHeight="1" spans="1:4" x14ac:dyDescent="0.25">
      <c r="A2" s="2" t="s">
        <v>12</v>
      </c>
      <c r="B2" s="3">
        <v>1200</v>
      </c>
      <c r="C2" s="3">
        <v>1236</v>
      </c>
      <c r="D2" s="4">
        <f>IFERROR(C2/B2,"")</f>
        <v>1.03</v>
      </c>
    </row>
    <row r="3" ht="20" customHeight="1" spans="1:4" x14ac:dyDescent="0.25">
      <c r="A3" s="5" t="s">
        <v>13</v>
      </c>
      <c r="B3" s="6">
        <v>30</v>
      </c>
      <c r="C3" s="6">
        <v>35</v>
      </c>
      <c r="D3" s="7">
        <f>IFERROR(C3/B3,"")</f>
        <v>1.1666666666666667</v>
      </c>
    </row>
    <row r="4" ht="20" customHeight="1" spans="1:4" x14ac:dyDescent="0.25">
      <c r="A4" s="2" t="s">
        <v>14</v>
      </c>
      <c r="B4" s="3">
        <v>1100</v>
      </c>
      <c r="C4" s="3">
        <v>986</v>
      </c>
      <c r="D4" s="4">
        <f>IFERROR(C4/B4,"")</f>
        <v>0.8963636363636364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10" customWidth="1"/>
  </cols>
  <sheetData>
    <row r="1" ht="24" customHeight="1" spans="1:3" x14ac:dyDescent="0.25">
      <c r="A1" s="1" t="s">
        <v>15</v>
      </c>
      <c r="B1" s="1" t="s">
        <v>16</v>
      </c>
      <c r="C1" s="1" t="s">
        <v>17</v>
      </c>
    </row>
    <row r="2" ht="20" customHeight="1" spans="1:3" x14ac:dyDescent="0.25">
      <c r="A2" s="11">
        <v>46218</v>
      </c>
      <c r="B2" s="2" t="s">
        <v>18</v>
      </c>
      <c r="C2" s="12">
        <v>42000</v>
      </c>
    </row>
    <row r="3" ht="20" customHeight="1" spans="1:3" x14ac:dyDescent="0.25">
      <c r="A3" s="13">
        <v>46237</v>
      </c>
      <c r="B3" s="5" t="s">
        <v>19</v>
      </c>
      <c r="C3" s="14">
        <v>68500</v>
      </c>
    </row>
    <row r="4" ht="20" customHeight="1" spans="1:3" x14ac:dyDescent="0.25">
      <c r="A4" s="11">
        <v>46285</v>
      </c>
      <c r="B4" s="2" t="s">
        <v>20</v>
      </c>
      <c r="C4" s="12">
        <v>15800</v>
      </c>
    </row>
    <row r="5" ht="20" customHeight="1" spans="1:3" x14ac:dyDescent="0.25">
      <c r="A5" s="8" t="s">
        <v>7</v>
      </c>
      <c r="B5" s="8"/>
      <c r="C5" s="15">
        <f>SUM(C2:C4)</f>
        <v>126300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季度销售</vt:lpstr>
      <vt:lpstr>目标完成</vt:lpstr>
      <vt:lpstr>费用明细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贾维斯</dc:creator>
  <dc:title/>
  <dc:subject/>
  <dc:description/>
  <cp:keywords/>
  <cp:category/>
  <cp:lastModifiedBy>Unknown</cp:lastModifiedBy>
  <dcterms:created xsi:type="dcterms:W3CDTF">2026-10-15T01:11:41Z</dcterms:created>
  <dcterms:modified xsi:type="dcterms:W3CDTF">2026-10-15T01:11:41Z</dcterms:modified>
</cp:coreProperties>
</file>